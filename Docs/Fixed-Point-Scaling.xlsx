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hossein:
</t>
        </r>
        <r>
          <rPr>
            <sz val="9"/>
            <color rgb="FF000000"/>
            <rFont val="Tahoma"/>
            <family val="0"/>
            <charset val="1"/>
          </rPr>
          <t xml:space="preserve">-577</t>
        </r>
      </text>
    </comment>
    <comment ref="D1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hossein:
</t>
        </r>
        <r>
          <rPr>
            <sz val="9"/>
            <color rgb="FF000000"/>
            <rFont val="Tahoma"/>
            <family val="0"/>
            <charset val="1"/>
          </rPr>
          <t xml:space="preserve">57910</t>
        </r>
      </text>
    </comment>
  </commentList>
</comments>
</file>

<file path=xl/sharedStrings.xml><?xml version="1.0" encoding="utf-8"?>
<sst xmlns="http://schemas.openxmlformats.org/spreadsheetml/2006/main" count="11" uniqueCount="11">
  <si>
    <t xml:space="preserve">Input</t>
  </si>
  <si>
    <t xml:space="preserve">Input
Scaled</t>
  </si>
  <si>
    <t xml:space="preserve">C.X^2</t>
  </si>
  <si>
    <t xml:space="preserve">B.X</t>
  </si>
  <si>
    <t xml:space="preserve">A Const</t>
  </si>
  <si>
    <t xml:space="preserve">Scaled Result1</t>
  </si>
  <si>
    <t xml:space="preserve">Rounded Scaled1</t>
  </si>
  <si>
    <t xml:space="preserve">Unscaled
Value</t>
  </si>
  <si>
    <t xml:space="preserve">Difference1</t>
  </si>
  <si>
    <t xml:space="preserve">MAX</t>
  </si>
  <si>
    <t xml:space="preserve">MIN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</si>
</sst>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9"/>
      <color rgb="FF000000"/>
      <name val="Tahoma"/>
      <family val="0"/>
      <charset val="1"/>
    </font>
    <font>
      <sz val="9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AE18F"/>
        <bgColor rgb="FFCCFFCC"/>
      </patternFill>
    </fill>
    <fill>
      <patternFill patternType="solid">
        <fgColor rgb="FFDCE6F2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E18F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5234375" defaultRowHeight="12.8" customHeight="true" zeroHeight="false" outlineLevelRow="0" outlineLevelCol="0"/>
  <cols>
    <col collapsed="false" customWidth="true" hidden="false" outlineLevel="0" max="7" min="1" style="0" width="8.67"/>
    <col collapsed="false" customWidth="true" hidden="false" outlineLevel="0" max="8" min="8" style="0" width="14.33"/>
    <col collapsed="false" customWidth="true" hidden="false" outlineLevel="0" max="9" min="9" style="0" width="12.66"/>
  </cols>
  <sheetData>
    <row r="1" customFormat="false" ht="23.8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4" t="s">
        <v>8</v>
      </c>
    </row>
    <row r="2" customFormat="false" ht="12.8" hidden="false" customHeight="false" outlineLevel="0" collapsed="false">
      <c r="A2" s="5" t="n">
        <v>0</v>
      </c>
      <c r="B2" s="6" t="n">
        <f aca="false">INT(ROUND(A2*2^12,16))</f>
        <v>0</v>
      </c>
      <c r="C2" s="7" t="n">
        <f aca="false">INT(-577*B2*B2/2^32)</f>
        <v>-0</v>
      </c>
      <c r="D2" s="8" t="n">
        <f aca="false">INT(57924*B2/2^16)</f>
        <v>0</v>
      </c>
      <c r="E2" s="8" t="n">
        <v>33610</v>
      </c>
      <c r="F2" s="9" t="n">
        <f aca="false">C2+INT(D2/8)+E2</f>
        <v>33610</v>
      </c>
      <c r="G2" s="9" t="n">
        <f aca="false">F2/256</f>
        <v>131.2890625</v>
      </c>
      <c r="H2" s="6" t="n">
        <f aca="false">-0.0088*(A2*A2)+1.76773*A2+131.29</f>
        <v>131.29</v>
      </c>
      <c r="I2" s="10" t="n">
        <f aca="false">ABS(H2-G2)</f>
        <v>0.000937499999992042</v>
      </c>
    </row>
    <row r="3" customFormat="false" ht="12.8" hidden="false" customHeight="false" outlineLevel="0" collapsed="false">
      <c r="A3" s="5" t="n">
        <f aca="false">A2+0.1</f>
        <v>0.1</v>
      </c>
      <c r="B3" s="6" t="n">
        <f aca="false">INT(ROUND(A3*2^12,16))</f>
        <v>409</v>
      </c>
      <c r="C3" s="7" t="n">
        <f aca="false">INT(-577*B3*B3/2^32)</f>
        <v>-1</v>
      </c>
      <c r="D3" s="8" t="n">
        <f aca="false">INT(57924*B3/2^16)</f>
        <v>361</v>
      </c>
      <c r="E3" s="8" t="n">
        <v>33610</v>
      </c>
      <c r="F3" s="9" t="n">
        <f aca="false">C3+INT(D3/8)+E3</f>
        <v>33654</v>
      </c>
      <c r="G3" s="9" t="n">
        <f aca="false">F3/256</f>
        <v>131.4609375</v>
      </c>
      <c r="H3" s="6" t="n">
        <f aca="false">-0.0088*(A3*A3)+1.76773*A3+131.29</f>
        <v>131.466685</v>
      </c>
      <c r="I3" s="10" t="n">
        <f aca="false">ABS(H3-G3)</f>
        <v>0.00574749999998403</v>
      </c>
    </row>
    <row r="4" customFormat="false" ht="12.8" hidden="false" customHeight="false" outlineLevel="0" collapsed="false">
      <c r="A4" s="5" t="n">
        <f aca="false">A3+0.1</f>
        <v>0.2</v>
      </c>
      <c r="B4" s="6" t="n">
        <f aca="false">INT(ROUND(A4*2^12,16))</f>
        <v>819</v>
      </c>
      <c r="C4" s="7" t="n">
        <f aca="false">INT(-577*B4*B4/2^32)</f>
        <v>-1</v>
      </c>
      <c r="D4" s="8" t="n">
        <f aca="false">INT(57924*B4/2^16)</f>
        <v>723</v>
      </c>
      <c r="E4" s="8" t="n">
        <v>33610</v>
      </c>
      <c r="F4" s="9" t="n">
        <f aca="false">C4+INT(D4/8)+E4</f>
        <v>33699</v>
      </c>
      <c r="G4" s="9" t="n">
        <f aca="false">F4/256</f>
        <v>131.63671875</v>
      </c>
      <c r="H4" s="6" t="n">
        <f aca="false">-0.0088*(A4*A4)+1.76773*A4+131.29</f>
        <v>131.643194</v>
      </c>
      <c r="I4" s="10" t="n">
        <f aca="false">ABS(H4-G4)</f>
        <v>0.00647524999999405</v>
      </c>
    </row>
    <row r="5" customFormat="false" ht="12.8" hidden="false" customHeight="false" outlineLevel="0" collapsed="false">
      <c r="A5" s="5" t="n">
        <f aca="false">A4+0.1</f>
        <v>0.3</v>
      </c>
      <c r="B5" s="6" t="n">
        <f aca="false">INT(ROUND(A5*2^12,16))</f>
        <v>1228</v>
      </c>
      <c r="C5" s="7" t="n">
        <f aca="false">INT(-577*B5*B5/2^32)</f>
        <v>-1</v>
      </c>
      <c r="D5" s="8" t="n">
        <f aca="false">INT(57924*B5/2^16)</f>
        <v>1085</v>
      </c>
      <c r="E5" s="8" t="n">
        <v>33610</v>
      </c>
      <c r="F5" s="9" t="n">
        <f aca="false">C5+INT(D5/8)+E5</f>
        <v>33744</v>
      </c>
      <c r="G5" s="9" t="n">
        <f aca="false">F5/256</f>
        <v>131.8125</v>
      </c>
      <c r="H5" s="6" t="n">
        <f aca="false">-0.0088*(A5*A5)+1.76773*A5+131.29</f>
        <v>131.819527</v>
      </c>
      <c r="I5" s="10" t="n">
        <f aca="false">ABS(H5-G5)</f>
        <v>0.00702699999999368</v>
      </c>
    </row>
    <row r="6" customFormat="false" ht="12.8" hidden="false" customHeight="false" outlineLevel="0" collapsed="false">
      <c r="A6" s="5" t="n">
        <f aca="false">A5+0.1</f>
        <v>0.4</v>
      </c>
      <c r="B6" s="6" t="n">
        <f aca="false">INT(ROUND(A6*2^12,16))</f>
        <v>1638</v>
      </c>
      <c r="C6" s="7" t="n">
        <f aca="false">INT(-577*B6*B6/2^32)</f>
        <v>-1</v>
      </c>
      <c r="D6" s="8" t="n">
        <f aca="false">INT(57924*B6/2^16)</f>
        <v>1447</v>
      </c>
      <c r="E6" s="8" t="n">
        <v>33610</v>
      </c>
      <c r="F6" s="9" t="n">
        <f aca="false">C6+INT(D6/8)+E6</f>
        <v>33789</v>
      </c>
      <c r="G6" s="9" t="n">
        <f aca="false">F6/256</f>
        <v>131.98828125</v>
      </c>
      <c r="H6" s="6" t="n">
        <f aca="false">-0.0088*(A6*A6)+1.76773*A6+131.29</f>
        <v>131.995684</v>
      </c>
      <c r="I6" s="10" t="n">
        <f aca="false">ABS(H6-G6)</f>
        <v>0.00740274999998292</v>
      </c>
    </row>
    <row r="7" customFormat="false" ht="12.8" hidden="false" customHeight="false" outlineLevel="0" collapsed="false">
      <c r="A7" s="5" t="n">
        <f aca="false">A6+0.1</f>
        <v>0.5</v>
      </c>
      <c r="B7" s="6" t="n">
        <f aca="false">INT(ROUND(A7*2^12,16))</f>
        <v>2048</v>
      </c>
      <c r="C7" s="7" t="n">
        <f aca="false">INT(-577*B7*B7/2^32)</f>
        <v>-1</v>
      </c>
      <c r="D7" s="8" t="n">
        <f aca="false">INT(57924*B7/2^16)</f>
        <v>1810</v>
      </c>
      <c r="E7" s="8" t="n">
        <v>33610</v>
      </c>
      <c r="F7" s="9" t="n">
        <f aca="false">C7+INT(D7/8)+E7</f>
        <v>33835</v>
      </c>
      <c r="G7" s="9" t="n">
        <f aca="false">F7/256</f>
        <v>132.16796875</v>
      </c>
      <c r="H7" s="6" t="n">
        <f aca="false">-0.0088*(A7*A7)+1.76773*A7+131.29</f>
        <v>132.171665</v>
      </c>
      <c r="I7" s="10" t="n">
        <f aca="false">ABS(H7-G7)</f>
        <v>0.00369624999999019</v>
      </c>
    </row>
    <row r="8" customFormat="false" ht="12.8" hidden="false" customHeight="false" outlineLevel="0" collapsed="false">
      <c r="A8" s="5" t="n">
        <f aca="false">A7+0.1</f>
        <v>0.6</v>
      </c>
      <c r="B8" s="6" t="n">
        <f aca="false">INT(ROUND(A8*2^12,16))</f>
        <v>2457</v>
      </c>
      <c r="C8" s="7" t="n">
        <f aca="false">INT(-577*B8*B8/2^32)</f>
        <v>-1</v>
      </c>
      <c r="D8" s="8" t="n">
        <f aca="false">INT(57924*B8/2^16)</f>
        <v>2171</v>
      </c>
      <c r="E8" s="8" t="n">
        <v>33610</v>
      </c>
      <c r="F8" s="9" t="n">
        <f aca="false">C8+INT(D8/8)+E8</f>
        <v>33880</v>
      </c>
      <c r="G8" s="9" t="n">
        <f aca="false">F8/256</f>
        <v>132.34375</v>
      </c>
      <c r="H8" s="6" t="n">
        <f aca="false">-0.0088*(A8*A8)+1.76773*A8+131.29</f>
        <v>132.34747</v>
      </c>
      <c r="I8" s="10" t="n">
        <f aca="false">ABS(H8-G8)</f>
        <v>0.00371999999998707</v>
      </c>
    </row>
    <row r="9" customFormat="false" ht="12.8" hidden="false" customHeight="false" outlineLevel="0" collapsed="false">
      <c r="A9" s="5" t="n">
        <f aca="false">A8+0.1</f>
        <v>0.7</v>
      </c>
      <c r="B9" s="6" t="n">
        <f aca="false">INT(ROUND(A9*2^12,16))</f>
        <v>2867</v>
      </c>
      <c r="C9" s="7" t="n">
        <f aca="false">INT(-577*B9*B9/2^32)</f>
        <v>-2</v>
      </c>
      <c r="D9" s="8" t="n">
        <f aca="false">INT(57924*B9/2^16)</f>
        <v>2533</v>
      </c>
      <c r="E9" s="8" t="n">
        <v>33610</v>
      </c>
      <c r="F9" s="9" t="n">
        <f aca="false">C9+INT(D9/8)+E9</f>
        <v>33924</v>
      </c>
      <c r="G9" s="9" t="n">
        <f aca="false">F9/256</f>
        <v>132.515625</v>
      </c>
      <c r="H9" s="6" t="n">
        <f aca="false">-0.0088*(A9*A9)+1.76773*A9+131.29</f>
        <v>132.523099</v>
      </c>
      <c r="I9" s="10" t="n">
        <f aca="false">ABS(H9-G9)</f>
        <v>0.00747400000000198</v>
      </c>
    </row>
    <row r="10" customFormat="false" ht="12.8" hidden="false" customHeight="false" outlineLevel="0" collapsed="false">
      <c r="A10" s="5" t="n">
        <f aca="false">A9+0.1</f>
        <v>0.8</v>
      </c>
      <c r="B10" s="6" t="n">
        <f aca="false">INT(ROUND(A10*2^12,16))</f>
        <v>3276</v>
      </c>
      <c r="C10" s="7" t="n">
        <f aca="false">INT(-577*B10*B10/2^32)</f>
        <v>-2</v>
      </c>
      <c r="D10" s="8" t="n">
        <f aca="false">INT(57924*B10/2^16)</f>
        <v>2895</v>
      </c>
      <c r="E10" s="8" t="n">
        <v>33610</v>
      </c>
      <c r="F10" s="9" t="n">
        <f aca="false">C10+INT(D10/8)+E10</f>
        <v>33969</v>
      </c>
      <c r="G10" s="9" t="n">
        <f aca="false">F10/256</f>
        <v>132.69140625</v>
      </c>
      <c r="H10" s="6" t="n">
        <f aca="false">-0.0088*(A10*A10)+1.76773*A10+131.29</f>
        <v>132.698552</v>
      </c>
      <c r="I10" s="10" t="n">
        <f aca="false">ABS(H10-G10)</f>
        <v>0.00714574999997808</v>
      </c>
    </row>
    <row r="11" customFormat="false" ht="12.8" hidden="false" customHeight="false" outlineLevel="0" collapsed="false">
      <c r="A11" s="5" t="n">
        <f aca="false">A10+0.1</f>
        <v>0.9</v>
      </c>
      <c r="B11" s="6" t="n">
        <f aca="false">INT(ROUND(A11*2^12,16))</f>
        <v>3686</v>
      </c>
      <c r="C11" s="7" t="n">
        <f aca="false">INT(-577*B11*B11/2^32)</f>
        <v>-2</v>
      </c>
      <c r="D11" s="8" t="n">
        <f aca="false">INT(57924*B11/2^16)</f>
        <v>3257</v>
      </c>
      <c r="E11" s="8" t="n">
        <v>33610</v>
      </c>
      <c r="F11" s="9" t="n">
        <f aca="false">C11+INT(D11/8)+E11</f>
        <v>34015</v>
      </c>
      <c r="G11" s="9" t="n">
        <f aca="false">F11/256</f>
        <v>132.87109375</v>
      </c>
      <c r="H11" s="6" t="n">
        <f aca="false">-0.0088*(A11*A11)+1.76773*A11+131.29</f>
        <v>132.873829</v>
      </c>
      <c r="I11" s="10" t="n">
        <f aca="false">ABS(H11-G11)</f>
        <v>0.00273525000000063</v>
      </c>
    </row>
    <row r="12" customFormat="false" ht="12.8" hidden="false" customHeight="false" outlineLevel="0" collapsed="false">
      <c r="A12" s="5" t="n">
        <f aca="false">A11+0.1</f>
        <v>1</v>
      </c>
      <c r="B12" s="6" t="n">
        <f aca="false">INT(ROUND(A12*2^12,16))</f>
        <v>4096</v>
      </c>
      <c r="C12" s="7" t="n">
        <f aca="false">INT(-577*B12*B12/2^32)</f>
        <v>-3</v>
      </c>
      <c r="D12" s="8" t="n">
        <f aca="false">INT(57924*B12/2^16)</f>
        <v>3620</v>
      </c>
      <c r="E12" s="8" t="n">
        <v>33610</v>
      </c>
      <c r="F12" s="9" t="n">
        <f aca="false">C12+INT(D12/8)+E12</f>
        <v>34059</v>
      </c>
      <c r="G12" s="9" t="n">
        <f aca="false">F12/256</f>
        <v>133.04296875</v>
      </c>
      <c r="H12" s="6" t="n">
        <f aca="false">-0.0088*(A12*A12)+1.76773*A12+131.29</f>
        <v>133.04893</v>
      </c>
      <c r="I12" s="10" t="n">
        <f aca="false">ABS(H12-G12)</f>
        <v>0.00596124999998438</v>
      </c>
    </row>
    <row r="13" customFormat="false" ht="12.8" hidden="false" customHeight="false" outlineLevel="0" collapsed="false">
      <c r="A13" s="5" t="n">
        <f aca="false">A12+0.1</f>
        <v>1.1</v>
      </c>
      <c r="B13" s="6" t="n">
        <f aca="false">INT(ROUND(A13*2^12,16))</f>
        <v>4505</v>
      </c>
      <c r="C13" s="7" t="n">
        <f aca="false">INT(-577*B13*B13/2^32)</f>
        <v>-3</v>
      </c>
      <c r="D13" s="8" t="n">
        <f aca="false">INT(57924*B13/2^16)</f>
        <v>3981</v>
      </c>
      <c r="E13" s="8" t="n">
        <v>33610</v>
      </c>
      <c r="F13" s="9" t="n">
        <f aca="false">C13+INT(D13/8)+E13</f>
        <v>34104</v>
      </c>
      <c r="G13" s="9" t="n">
        <f aca="false">F13/256</f>
        <v>133.21875</v>
      </c>
      <c r="H13" s="6" t="n">
        <f aca="false">-0.0088*(A13*A13)+1.76773*A13+131.29</f>
        <v>133.223855</v>
      </c>
      <c r="I13" s="10" t="n">
        <f aca="false">ABS(H13-G13)</f>
        <v>0.00510499999998615</v>
      </c>
    </row>
    <row r="14" customFormat="false" ht="12.8" hidden="false" customHeight="false" outlineLevel="0" collapsed="false">
      <c r="A14" s="5" t="n">
        <f aca="false">A13+0.1</f>
        <v>1.2</v>
      </c>
      <c r="B14" s="6" t="n">
        <f aca="false">INT(ROUND(A14*2^12,16))</f>
        <v>4915</v>
      </c>
      <c r="C14" s="7" t="n">
        <f aca="false">INT(-577*B14*B14/2^32)</f>
        <v>-4</v>
      </c>
      <c r="D14" s="8" t="n">
        <f aca="false">INT(57924*B14/2^16)</f>
        <v>4344</v>
      </c>
      <c r="E14" s="8" t="n">
        <v>33610</v>
      </c>
      <c r="F14" s="9" t="n">
        <f aca="false">C14+INT(D14/8)+E14</f>
        <v>34149</v>
      </c>
      <c r="G14" s="9" t="n">
        <f aca="false">F14/256</f>
        <v>133.39453125</v>
      </c>
      <c r="H14" s="6" t="n">
        <f aca="false">-0.0088*(A14*A14)+1.76773*A14+131.29</f>
        <v>133.398604</v>
      </c>
      <c r="I14" s="10" t="n">
        <f aca="false">ABS(H14-G14)</f>
        <v>0.00407275000000595</v>
      </c>
    </row>
    <row r="15" customFormat="false" ht="12.8" hidden="false" customHeight="false" outlineLevel="0" collapsed="false">
      <c r="A15" s="5" t="n">
        <f aca="false">A14+0.1</f>
        <v>1.3</v>
      </c>
      <c r="B15" s="6" t="n">
        <f aca="false">INT(ROUND(A15*2^12,16))</f>
        <v>5324</v>
      </c>
      <c r="C15" s="7" t="n">
        <f aca="false">INT(-577*B15*B15/2^32)</f>
        <v>-4</v>
      </c>
      <c r="D15" s="8" t="n">
        <f aca="false">INT(57924*B15/2^16)</f>
        <v>4705</v>
      </c>
      <c r="E15" s="8" t="n">
        <v>33610</v>
      </c>
      <c r="F15" s="9" t="n">
        <f aca="false">C15+INT(D15/8)+E15</f>
        <v>34194</v>
      </c>
      <c r="G15" s="9" t="n">
        <f aca="false">F15/256</f>
        <v>133.5703125</v>
      </c>
      <c r="H15" s="6" t="n">
        <f aca="false">-0.0088*(A15*A15)+1.76773*A15+131.29</f>
        <v>133.573177</v>
      </c>
      <c r="I15" s="10" t="n">
        <f aca="false">ABS(H15-G15)</f>
        <v>0.00286449999998695</v>
      </c>
    </row>
    <row r="16" customFormat="false" ht="12.8" hidden="false" customHeight="false" outlineLevel="0" collapsed="false">
      <c r="A16" s="5" t="n">
        <f aca="false">A15+0.1</f>
        <v>1.4</v>
      </c>
      <c r="B16" s="6" t="n">
        <f aca="false">INT(ROUND(A16*2^12,16))</f>
        <v>5734</v>
      </c>
      <c r="C16" s="7" t="n">
        <f aca="false">INT(-577*B16*B16/2^32)</f>
        <v>-5</v>
      </c>
      <c r="D16" s="8" t="n">
        <f aca="false">INT(57924*B16/2^16)</f>
        <v>5067</v>
      </c>
      <c r="E16" s="8" t="n">
        <v>33610</v>
      </c>
      <c r="F16" s="9" t="n">
        <f aca="false">C16+INT(D16/8)+E16</f>
        <v>34238</v>
      </c>
      <c r="G16" s="9" t="n">
        <f aca="false">F16/256</f>
        <v>133.7421875</v>
      </c>
      <c r="H16" s="6" t="n">
        <f aca="false">-0.0088*(A16*A16)+1.76773*A16+131.29</f>
        <v>133.747574</v>
      </c>
      <c r="I16" s="10" t="n">
        <f aca="false">ABS(H16-G16)</f>
        <v>0.00538649999998597</v>
      </c>
    </row>
    <row r="17" customFormat="false" ht="12.8" hidden="false" customHeight="false" outlineLevel="0" collapsed="false">
      <c r="A17" s="5" t="n">
        <f aca="false">A16+0.1</f>
        <v>1.5</v>
      </c>
      <c r="B17" s="6" t="n">
        <f aca="false">INT(ROUND(A17*2^12,16))</f>
        <v>6144</v>
      </c>
      <c r="C17" s="7" t="n">
        <f aca="false">INT(-577*B17*B17/2^32)</f>
        <v>-6</v>
      </c>
      <c r="D17" s="8" t="n">
        <f aca="false">INT(57924*B17/2^16)</f>
        <v>5430</v>
      </c>
      <c r="E17" s="8" t="n">
        <v>33610</v>
      </c>
      <c r="F17" s="9" t="n">
        <f aca="false">C17+INT(D17/8)+E17</f>
        <v>34282</v>
      </c>
      <c r="G17" s="9" t="n">
        <f aca="false">F17/256</f>
        <v>133.9140625</v>
      </c>
      <c r="H17" s="6" t="n">
        <f aca="false">-0.0088*(A17*A17)+1.76773*A17+131.29</f>
        <v>133.921795</v>
      </c>
      <c r="I17" s="10" t="n">
        <f aca="false">ABS(H17-G17)</f>
        <v>0.00773250000000303</v>
      </c>
    </row>
    <row r="18" customFormat="false" ht="12.8" hidden="false" customHeight="false" outlineLevel="0" collapsed="false">
      <c r="A18" s="5" t="n">
        <f aca="false">A17+0.1</f>
        <v>1.6</v>
      </c>
      <c r="B18" s="6" t="n">
        <f aca="false">INT(ROUND(A18*2^12,16))</f>
        <v>6553</v>
      </c>
      <c r="C18" s="7" t="n">
        <f aca="false">INT(-577*B18*B18/2^32)</f>
        <v>-6</v>
      </c>
      <c r="D18" s="8" t="n">
        <f aca="false">INT(57924*B18/2^16)</f>
        <v>5791</v>
      </c>
      <c r="E18" s="8" t="n">
        <v>33610</v>
      </c>
      <c r="F18" s="9" t="n">
        <f aca="false">C18+INT(D18/8)+E18</f>
        <v>34327</v>
      </c>
      <c r="G18" s="9" t="n">
        <f aca="false">F18/256</f>
        <v>134.08984375</v>
      </c>
      <c r="H18" s="6" t="n">
        <f aca="false">-0.0088*(A18*A18)+1.76773*A18+131.29</f>
        <v>134.09584</v>
      </c>
      <c r="I18" s="10" t="n">
        <f aca="false">ABS(H18-G18)</f>
        <v>0.00599624999998127</v>
      </c>
    </row>
    <row r="19" customFormat="false" ht="12.8" hidden="false" customHeight="false" outlineLevel="0" collapsed="false">
      <c r="A19" s="5" t="n">
        <f aca="false">A18+0.1</f>
        <v>1.7</v>
      </c>
      <c r="B19" s="6" t="n">
        <f aca="false">INT(ROUND(A19*2^12,16))</f>
        <v>6963</v>
      </c>
      <c r="C19" s="7" t="n">
        <f aca="false">INT(-577*B19*B19/2^32)</f>
        <v>-7</v>
      </c>
      <c r="D19" s="8" t="n">
        <f aca="false">INT(57924*B19/2^16)</f>
        <v>6154</v>
      </c>
      <c r="E19" s="8" t="n">
        <v>33610</v>
      </c>
      <c r="F19" s="9" t="n">
        <f aca="false">C19+INT(D19/8)+E19</f>
        <v>34372</v>
      </c>
      <c r="G19" s="9" t="n">
        <f aca="false">F19/256</f>
        <v>134.265625</v>
      </c>
      <c r="H19" s="6" t="n">
        <f aca="false">-0.0088*(A19*A19)+1.76773*A19+131.29</f>
        <v>134.269709</v>
      </c>
      <c r="I19" s="10" t="n">
        <f aca="false">ABS(H19-G19)</f>
        <v>0.00408400000000597</v>
      </c>
    </row>
    <row r="20" customFormat="false" ht="12.8" hidden="false" customHeight="false" outlineLevel="0" collapsed="false">
      <c r="A20" s="5" t="n">
        <f aca="false">A19+0.1</f>
        <v>1.8</v>
      </c>
      <c r="B20" s="6" t="n">
        <f aca="false">INT(ROUND(A20*2^12,16))</f>
        <v>7372</v>
      </c>
      <c r="C20" s="7" t="n">
        <f aca="false">INT(-577*B20*B20/2^32)</f>
        <v>-8</v>
      </c>
      <c r="D20" s="8" t="n">
        <f aca="false">INT(57924*B20/2^16)</f>
        <v>6515</v>
      </c>
      <c r="E20" s="8" t="n">
        <v>33610</v>
      </c>
      <c r="F20" s="9" t="n">
        <f aca="false">C20+INT(D20/8)+E20</f>
        <v>34416</v>
      </c>
      <c r="G20" s="9" t="n">
        <f aca="false">F20/256</f>
        <v>134.4375</v>
      </c>
      <c r="H20" s="6" t="n">
        <f aca="false">-0.0088*(A20*A20)+1.76773*A20+131.29</f>
        <v>134.443402</v>
      </c>
      <c r="I20" s="10" t="n">
        <f aca="false">ABS(H20-G20)</f>
        <v>0.00590199999999186</v>
      </c>
    </row>
    <row r="21" customFormat="false" ht="12.8" hidden="false" customHeight="false" outlineLevel="0" collapsed="false">
      <c r="A21" s="5" t="n">
        <f aca="false">A20+0.1</f>
        <v>1.9</v>
      </c>
      <c r="B21" s="6" t="n">
        <f aca="false">INT(ROUND(A21*2^12,16))</f>
        <v>7782</v>
      </c>
      <c r="C21" s="7" t="n">
        <f aca="false">INT(-577*B21*B21/2^32)</f>
        <v>-9</v>
      </c>
      <c r="D21" s="8" t="n">
        <f aca="false">INT(57924*B21/2^16)</f>
        <v>6878</v>
      </c>
      <c r="E21" s="8" t="n">
        <v>33610</v>
      </c>
      <c r="F21" s="9" t="n">
        <f aca="false">C21+INT(D21/8)+E21</f>
        <v>34460</v>
      </c>
      <c r="G21" s="9" t="n">
        <f aca="false">F21/256</f>
        <v>134.609375</v>
      </c>
      <c r="H21" s="6" t="n">
        <f aca="false">-0.0088*(A21*A21)+1.76773*A21+131.29</f>
        <v>134.616919</v>
      </c>
      <c r="I21" s="10" t="n">
        <f aca="false">ABS(H21-G21)</f>
        <v>0.00754399999999578</v>
      </c>
    </row>
    <row r="22" customFormat="false" ht="12.8" hidden="false" customHeight="false" outlineLevel="0" collapsed="false">
      <c r="A22" s="5" t="n">
        <f aca="false">A21+0.1</f>
        <v>2</v>
      </c>
      <c r="B22" s="6" t="n">
        <f aca="false">INT(ROUND(A22*2^12,16))</f>
        <v>8192</v>
      </c>
      <c r="C22" s="7" t="n">
        <f aca="false">INT(-577*B22*B22/2^32)</f>
        <v>-10</v>
      </c>
      <c r="D22" s="8" t="n">
        <f aca="false">INT(57924*B22/2^16)</f>
        <v>7240</v>
      </c>
      <c r="E22" s="8" t="n">
        <v>33610</v>
      </c>
      <c r="F22" s="9" t="n">
        <f aca="false">C22+INT(D22/8)+E22</f>
        <v>34505</v>
      </c>
      <c r="G22" s="9" t="n">
        <f aca="false">F22/256</f>
        <v>134.78515625</v>
      </c>
      <c r="H22" s="6" t="n">
        <f aca="false">-0.0088*(A22*A22)+1.76773*A22+131.29</f>
        <v>134.79026</v>
      </c>
      <c r="I22" s="10" t="n">
        <f aca="false">ABS(H22-G22)</f>
        <v>0.0051037499999893</v>
      </c>
    </row>
    <row r="23" customFormat="false" ht="12.8" hidden="false" customHeight="false" outlineLevel="0" collapsed="false">
      <c r="A23" s="5" t="n">
        <f aca="false">A22+0.1</f>
        <v>2.1</v>
      </c>
      <c r="B23" s="6" t="n">
        <f aca="false">INT(ROUND(A23*2^12,16))</f>
        <v>8601</v>
      </c>
      <c r="C23" s="7" t="n">
        <f aca="false">INT(-577*B23*B23/2^32)</f>
        <v>-10</v>
      </c>
      <c r="D23" s="8" t="n">
        <f aca="false">INT(57924*B23/2^16)</f>
        <v>7601</v>
      </c>
      <c r="E23" s="8" t="n">
        <v>33610</v>
      </c>
      <c r="F23" s="9" t="n">
        <f aca="false">C23+INT(D23/8)+E23</f>
        <v>34550</v>
      </c>
      <c r="G23" s="9" t="n">
        <f aca="false">F23/256</f>
        <v>134.9609375</v>
      </c>
      <c r="H23" s="6" t="n">
        <f aca="false">-0.0088*(A23*A23)+1.76773*A23+131.29</f>
        <v>134.963425</v>
      </c>
      <c r="I23" s="10" t="n">
        <f aca="false">ABS(H23-G23)</f>
        <v>0.00248750000000086</v>
      </c>
    </row>
    <row r="24" customFormat="false" ht="12.8" hidden="false" customHeight="false" outlineLevel="0" collapsed="false">
      <c r="A24" s="5" t="n">
        <f aca="false">A23+0.1</f>
        <v>2.2</v>
      </c>
      <c r="B24" s="6" t="n">
        <f aca="false">INT(ROUND(A24*2^12,16))</f>
        <v>9011</v>
      </c>
      <c r="C24" s="7" t="n">
        <f aca="false">INT(-577*B24*B24/2^32)</f>
        <v>-11</v>
      </c>
      <c r="D24" s="8" t="n">
        <f aca="false">INT(57924*B24/2^16)</f>
        <v>7964</v>
      </c>
      <c r="E24" s="8" t="n">
        <v>33610</v>
      </c>
      <c r="F24" s="9" t="n">
        <f aca="false">C24+INT(D24/8)+E24</f>
        <v>34594</v>
      </c>
      <c r="G24" s="9" t="n">
        <f aca="false">F24/256</f>
        <v>135.1328125</v>
      </c>
      <c r="H24" s="6" t="n">
        <f aca="false">-0.0088*(A24*A24)+1.76773*A24+131.29</f>
        <v>135.136414</v>
      </c>
      <c r="I24" s="10" t="n">
        <f aca="false">ABS(H24-G24)</f>
        <v>0.00360150000000203</v>
      </c>
    </row>
    <row r="25" customFormat="false" ht="12.8" hidden="false" customHeight="false" outlineLevel="0" collapsed="false">
      <c r="A25" s="5" t="n">
        <f aca="false">A24+0.1</f>
        <v>2.3</v>
      </c>
      <c r="B25" s="6" t="n">
        <f aca="false">INT(ROUND(A25*2^12,16))</f>
        <v>9420</v>
      </c>
      <c r="C25" s="7" t="n">
        <f aca="false">INT(-577*B25*B25/2^32)</f>
        <v>-12</v>
      </c>
      <c r="D25" s="8" t="n">
        <f aca="false">INT(57924*B25/2^16)</f>
        <v>8325</v>
      </c>
      <c r="E25" s="8" t="n">
        <v>33610</v>
      </c>
      <c r="F25" s="9" t="n">
        <f aca="false">C25+INT(D25/8)+E25</f>
        <v>34638</v>
      </c>
      <c r="G25" s="9" t="n">
        <f aca="false">F25/256</f>
        <v>135.3046875</v>
      </c>
      <c r="H25" s="6" t="n">
        <f aca="false">-0.0088*(A25*A25)+1.76773*A25+131.29</f>
        <v>135.309227</v>
      </c>
      <c r="I25" s="10" t="n">
        <f aca="false">ABS(H25-G25)</f>
        <v>0.00453949999999281</v>
      </c>
    </row>
    <row r="26" customFormat="false" ht="12.8" hidden="false" customHeight="false" outlineLevel="0" collapsed="false">
      <c r="A26" s="5" t="n">
        <f aca="false">A25+0.1</f>
        <v>2.4</v>
      </c>
      <c r="B26" s="6" t="n">
        <f aca="false">INT(ROUND(A26*2^12,16))</f>
        <v>9830</v>
      </c>
      <c r="C26" s="7" t="n">
        <f aca="false">INT(-577*B26*B26/2^32)</f>
        <v>-13</v>
      </c>
      <c r="D26" s="8" t="n">
        <f aca="false">INT(57924*B26/2^16)</f>
        <v>8688</v>
      </c>
      <c r="E26" s="8" t="n">
        <v>33610</v>
      </c>
      <c r="F26" s="9" t="n">
        <f aca="false">C26+INT(D26/8)+E26</f>
        <v>34683</v>
      </c>
      <c r="G26" s="9" t="n">
        <f aca="false">F26/256</f>
        <v>135.48046875</v>
      </c>
      <c r="H26" s="6" t="n">
        <f aca="false">-0.0088*(A26*A26)+1.76773*A26+131.29</f>
        <v>135.481864</v>
      </c>
      <c r="I26" s="10" t="n">
        <f aca="false">ABS(H26-G26)</f>
        <v>0.00139525000000162</v>
      </c>
    </row>
    <row r="27" customFormat="false" ht="12.8" hidden="false" customHeight="false" outlineLevel="0" collapsed="false">
      <c r="A27" s="5" t="n">
        <f aca="false">A26+0.1</f>
        <v>2.5</v>
      </c>
      <c r="B27" s="6" t="n">
        <f aca="false">INT(ROUND(A27*2^12,16))</f>
        <v>10240</v>
      </c>
      <c r="C27" s="7" t="n">
        <f aca="false">INT(-577*B27*B27/2^32)</f>
        <v>-15</v>
      </c>
      <c r="D27" s="8" t="n">
        <f aca="false">INT(57924*B27/2^16)</f>
        <v>9050</v>
      </c>
      <c r="E27" s="8" t="n">
        <v>33610</v>
      </c>
      <c r="F27" s="9" t="n">
        <f aca="false">C27+INT(D27/8)+E27</f>
        <v>34726</v>
      </c>
      <c r="G27" s="9" t="n">
        <f aca="false">F27/256</f>
        <v>135.6484375</v>
      </c>
      <c r="H27" s="6" t="n">
        <f aca="false">-0.0088*(A27*A27)+1.76773*A27+131.29</f>
        <v>135.654325</v>
      </c>
      <c r="I27" s="10" t="n">
        <f aca="false">ABS(H27-G27)</f>
        <v>0.00588750000000005</v>
      </c>
    </row>
    <row r="28" customFormat="false" ht="12.8" hidden="false" customHeight="false" outlineLevel="0" collapsed="false">
      <c r="A28" s="5" t="n">
        <f aca="false">A27+0.1</f>
        <v>2.6</v>
      </c>
      <c r="B28" s="6" t="n">
        <f aca="false">INT(ROUND(A28*2^12,16))</f>
        <v>10649</v>
      </c>
      <c r="C28" s="7" t="n">
        <f aca="false">INT(-577*B28*B28/2^32)</f>
        <v>-16</v>
      </c>
      <c r="D28" s="8" t="n">
        <f aca="false">INT(57924*B28/2^16)</f>
        <v>9412</v>
      </c>
      <c r="E28" s="8" t="n">
        <v>33610</v>
      </c>
      <c r="F28" s="9" t="n">
        <f aca="false">C28+INT(D28/8)+E28</f>
        <v>34770</v>
      </c>
      <c r="G28" s="9" t="n">
        <f aca="false">F28/256</f>
        <v>135.8203125</v>
      </c>
      <c r="H28" s="6" t="n">
        <f aca="false">-0.0088*(A28*A28)+1.76773*A28+131.29</f>
        <v>135.82661</v>
      </c>
      <c r="I28" s="10" t="n">
        <f aca="false">ABS(H28-G28)</f>
        <v>0.00629749999998808</v>
      </c>
    </row>
    <row r="29" customFormat="false" ht="12.8" hidden="false" customHeight="false" outlineLevel="0" collapsed="false">
      <c r="A29" s="5" t="n">
        <f aca="false">A28+0.1</f>
        <v>2.7</v>
      </c>
      <c r="B29" s="6" t="n">
        <f aca="false">INT(ROUND(A29*2^12,16))</f>
        <v>11059</v>
      </c>
      <c r="C29" s="7" t="n">
        <f aca="false">INT(-577*B29*B29/2^32)</f>
        <v>-17</v>
      </c>
      <c r="D29" s="8" t="n">
        <f aca="false">INT(57924*B29/2^16)</f>
        <v>9774</v>
      </c>
      <c r="E29" s="8" t="n">
        <v>33610</v>
      </c>
      <c r="F29" s="9" t="n">
        <f aca="false">C29+INT(D29/8)+E29</f>
        <v>34814</v>
      </c>
      <c r="G29" s="9" t="n">
        <f aca="false">F29/256</f>
        <v>135.9921875</v>
      </c>
      <c r="H29" s="6" t="n">
        <f aca="false">-0.0088*(A29*A29)+1.76773*A29+131.29</f>
        <v>135.998719</v>
      </c>
      <c r="I29" s="10" t="n">
        <f aca="false">ABS(H29-G29)</f>
        <v>0.00653149999999414</v>
      </c>
    </row>
    <row r="30" customFormat="false" ht="12.8" hidden="false" customHeight="false" outlineLevel="0" collapsed="false">
      <c r="A30" s="5" t="n">
        <f aca="false">A29+0.1</f>
        <v>2.8</v>
      </c>
      <c r="B30" s="6" t="n">
        <f aca="false">INT(ROUND(A30*2^12,16))</f>
        <v>11468</v>
      </c>
      <c r="C30" s="7" t="n">
        <f aca="false">INT(-577*B30*B30/2^32)</f>
        <v>-18</v>
      </c>
      <c r="D30" s="8" t="n">
        <f aca="false">INT(57924*B30/2^16)</f>
        <v>10135</v>
      </c>
      <c r="E30" s="8" t="n">
        <v>33610</v>
      </c>
      <c r="F30" s="9" t="n">
        <f aca="false">C30+INT(D30/8)+E30</f>
        <v>34858</v>
      </c>
      <c r="G30" s="9" t="n">
        <f aca="false">F30/256</f>
        <v>136.1640625</v>
      </c>
      <c r="H30" s="6" t="n">
        <f aca="false">-0.0088*(A30*A30)+1.76773*A30+131.29</f>
        <v>136.170652</v>
      </c>
      <c r="I30" s="10" t="n">
        <f aca="false">ABS(H30-G30)</f>
        <v>0.00658949999998981</v>
      </c>
    </row>
    <row r="31" customFormat="false" ht="12.8" hidden="false" customHeight="false" outlineLevel="0" collapsed="false">
      <c r="A31" s="5" t="n">
        <f aca="false">A30+0.1</f>
        <v>2.9</v>
      </c>
      <c r="B31" s="6" t="n">
        <f aca="false">INT(ROUND(A31*2^12,16))</f>
        <v>11878</v>
      </c>
      <c r="C31" s="7" t="n">
        <f aca="false">INT(-577*B31*B31/2^32)</f>
        <v>-19</v>
      </c>
      <c r="D31" s="8" t="n">
        <f aca="false">INT(57924*B31/2^16)</f>
        <v>10498</v>
      </c>
      <c r="E31" s="8" t="n">
        <v>33610</v>
      </c>
      <c r="F31" s="9" t="n">
        <f aca="false">C31+INT(D31/8)+E31</f>
        <v>34903</v>
      </c>
      <c r="G31" s="9" t="n">
        <f aca="false">F31/256</f>
        <v>136.33984375</v>
      </c>
      <c r="H31" s="6" t="n">
        <f aca="false">-0.0088*(A31*A31)+1.76773*A31+131.29</f>
        <v>136.342409</v>
      </c>
      <c r="I31" s="10" t="n">
        <f aca="false">ABS(H31-G31)</f>
        <v>0.00256525000000352</v>
      </c>
    </row>
    <row r="32" customFormat="false" ht="12.8" hidden="false" customHeight="false" outlineLevel="0" collapsed="false">
      <c r="A32" s="5" t="n">
        <f aca="false">A31+0.1</f>
        <v>3</v>
      </c>
      <c r="B32" s="6" t="n">
        <f aca="false">INT(ROUND(A32*2^12,16))</f>
        <v>12288</v>
      </c>
      <c r="C32" s="7" t="n">
        <f aca="false">INT(-577*B32*B32/2^32)</f>
        <v>-21</v>
      </c>
      <c r="D32" s="8" t="n">
        <f aca="false">INT(57924*B32/2^16)</f>
        <v>10860</v>
      </c>
      <c r="E32" s="8" t="n">
        <v>33610</v>
      </c>
      <c r="F32" s="9" t="n">
        <f aca="false">C32+INT(D32/8)+E32</f>
        <v>34946</v>
      </c>
      <c r="G32" s="9" t="n">
        <f aca="false">F32/256</f>
        <v>136.5078125</v>
      </c>
      <c r="H32" s="6" t="n">
        <f aca="false">-0.0088*(A32*A32)+1.76773*A32+131.29</f>
        <v>136.51399</v>
      </c>
      <c r="I32" s="10" t="n">
        <f aca="false">ABS(H32-G32)</f>
        <v>0.00617750000000683</v>
      </c>
    </row>
    <row r="33" customFormat="false" ht="12.8" hidden="false" customHeight="false" outlineLevel="0" collapsed="false">
      <c r="A33" s="5" t="n">
        <f aca="false">A32+0.1</f>
        <v>3.1</v>
      </c>
      <c r="B33" s="6" t="n">
        <f aca="false">INT(ROUND(A33*2^12,16))</f>
        <v>12697</v>
      </c>
      <c r="C33" s="7" t="n">
        <f aca="false">INT(-577*B33*B33/2^32)</f>
        <v>-22</v>
      </c>
      <c r="D33" s="8" t="n">
        <f aca="false">INT(57924*B33/2^16)</f>
        <v>11222</v>
      </c>
      <c r="E33" s="8" t="n">
        <v>33610</v>
      </c>
      <c r="F33" s="9" t="n">
        <f aca="false">C33+INT(D33/8)+E33</f>
        <v>34990</v>
      </c>
      <c r="G33" s="9" t="n">
        <f aca="false">F33/256</f>
        <v>136.6796875</v>
      </c>
      <c r="H33" s="6" t="n">
        <f aca="false">-0.0088*(A33*A33)+1.76773*A33+131.29</f>
        <v>136.685395</v>
      </c>
      <c r="I33" s="10" t="n">
        <f aca="false">ABS(H33-G33)</f>
        <v>0.00570749999999975</v>
      </c>
    </row>
    <row r="34" customFormat="false" ht="12.8" hidden="false" customHeight="false" outlineLevel="0" collapsed="false">
      <c r="A34" s="5" t="n">
        <f aca="false">A33+0.1</f>
        <v>3.2</v>
      </c>
      <c r="B34" s="6" t="n">
        <f aca="false">INT(ROUND(A34*2^12,16))</f>
        <v>13107</v>
      </c>
      <c r="C34" s="7" t="n">
        <f aca="false">INT(-577*B34*B34/2^32)</f>
        <v>-24</v>
      </c>
      <c r="D34" s="8" t="n">
        <f aca="false">INT(57924*B34/2^16)</f>
        <v>11584</v>
      </c>
      <c r="E34" s="8" t="n">
        <v>33610</v>
      </c>
      <c r="F34" s="9" t="n">
        <f aca="false">C34+INT(D34/8)+E34</f>
        <v>35034</v>
      </c>
      <c r="G34" s="9" t="n">
        <f aca="false">F34/256</f>
        <v>136.8515625</v>
      </c>
      <c r="H34" s="6" t="n">
        <f aca="false">-0.0088*(A34*A34)+1.76773*A34+131.29</f>
        <v>136.856624</v>
      </c>
      <c r="I34" s="10" t="n">
        <f aca="false">ABS(H34-G34)</f>
        <v>0.00506149999998229</v>
      </c>
    </row>
    <row r="35" customFormat="false" ht="12.8" hidden="false" customHeight="false" outlineLevel="0" collapsed="false">
      <c r="A35" s="5" t="n">
        <f aca="false">A34+0.1</f>
        <v>3.3</v>
      </c>
      <c r="B35" s="6" t="n">
        <f aca="false">INT(ROUND(A35*2^12,16))</f>
        <v>13516</v>
      </c>
      <c r="C35" s="7" t="n">
        <f aca="false">INT(-577*B35*B35/2^32)</f>
        <v>-25</v>
      </c>
      <c r="D35" s="8" t="n">
        <f aca="false">INT(57924*B35/2^16)</f>
        <v>11946</v>
      </c>
      <c r="E35" s="8" t="n">
        <v>33610</v>
      </c>
      <c r="F35" s="9" t="n">
        <f aca="false">C35+INT(D35/8)+E35</f>
        <v>35078</v>
      </c>
      <c r="G35" s="9" t="n">
        <f aca="false">F35/256</f>
        <v>137.0234375</v>
      </c>
      <c r="H35" s="6" t="n">
        <f aca="false">-0.0088*(A35*A35)+1.76773*A35+131.29</f>
        <v>137.027677</v>
      </c>
      <c r="I35" s="10" t="n">
        <f aca="false">ABS(H35-G35)</f>
        <v>0.00423949999998285</v>
      </c>
    </row>
    <row r="36" customFormat="false" ht="12.8" hidden="false" customHeight="false" outlineLevel="0" collapsed="false">
      <c r="A36" s="5" t="n">
        <f aca="false">A35+0.1</f>
        <v>3.4</v>
      </c>
      <c r="B36" s="6" t="n">
        <f aca="false">INT(ROUND(A36*2^12,16))</f>
        <v>13926</v>
      </c>
      <c r="C36" s="7" t="n">
        <f aca="false">INT(-577*B36*B36/2^32)</f>
        <v>-27</v>
      </c>
      <c r="D36" s="8" t="n">
        <f aca="false">INT(57924*B36/2^16)</f>
        <v>12308</v>
      </c>
      <c r="E36" s="8" t="n">
        <v>33610</v>
      </c>
      <c r="F36" s="9" t="n">
        <f aca="false">C36+INT(D36/8)+E36</f>
        <v>35121</v>
      </c>
      <c r="G36" s="9" t="n">
        <f aca="false">F36/256</f>
        <v>137.19140625</v>
      </c>
      <c r="H36" s="6" t="n">
        <f aca="false">-0.0088*(A36*A36)+1.76773*A36+131.29</f>
        <v>137.198554</v>
      </c>
      <c r="I36" s="10" t="n">
        <f aca="false">ABS(H36-G36)</f>
        <v>0.00714775000000145</v>
      </c>
    </row>
    <row r="37" customFormat="false" ht="12.8" hidden="false" customHeight="false" outlineLevel="0" collapsed="false">
      <c r="A37" s="5" t="n">
        <f aca="false">A36+0.1</f>
        <v>3.5</v>
      </c>
      <c r="B37" s="6" t="n">
        <f aca="false">INT(ROUND(A37*2^12,16))</f>
        <v>14336</v>
      </c>
      <c r="C37" s="7" t="n">
        <f aca="false">INT(-577*B37*B37/2^32)</f>
        <v>-28</v>
      </c>
      <c r="D37" s="8" t="n">
        <f aca="false">INT(57924*B37/2^16)</f>
        <v>12670</v>
      </c>
      <c r="E37" s="8" t="n">
        <v>33610</v>
      </c>
      <c r="F37" s="9" t="n">
        <f aca="false">C37+INT(D37/8)+E37</f>
        <v>35165</v>
      </c>
      <c r="G37" s="9" t="n">
        <f aca="false">F37/256</f>
        <v>137.36328125</v>
      </c>
      <c r="H37" s="6" t="n">
        <f aca="false">-0.0088*(A37*A37)+1.76773*A37+131.29</f>
        <v>137.369255</v>
      </c>
      <c r="I37" s="10" t="n">
        <f aca="false">ABS(H37-G37)</f>
        <v>0.00597375000000966</v>
      </c>
    </row>
    <row r="38" customFormat="false" ht="12.8" hidden="false" customHeight="false" outlineLevel="0" collapsed="false">
      <c r="A38" s="5" t="n">
        <f aca="false">A37+0.1</f>
        <v>3.6</v>
      </c>
      <c r="B38" s="6" t="n">
        <f aca="false">INT(ROUND(A38*2^12,16))</f>
        <v>14745</v>
      </c>
      <c r="C38" s="7" t="n">
        <f aca="false">INT(-577*B38*B38/2^32)</f>
        <v>-30</v>
      </c>
      <c r="D38" s="8" t="n">
        <f aca="false">INT(57924*B38/2^16)</f>
        <v>13032</v>
      </c>
      <c r="E38" s="8" t="n">
        <v>33610</v>
      </c>
      <c r="F38" s="9" t="n">
        <f aca="false">C38+INT(D38/8)+E38</f>
        <v>35209</v>
      </c>
      <c r="G38" s="9" t="n">
        <f aca="false">F38/256</f>
        <v>137.53515625</v>
      </c>
      <c r="H38" s="6" t="n">
        <f aca="false">-0.0088*(A38*A38)+1.76773*A38+131.29</f>
        <v>137.53978</v>
      </c>
      <c r="I38" s="10" t="n">
        <f aca="false">ABS(H38-G38)</f>
        <v>0.00462375000000748</v>
      </c>
    </row>
    <row r="39" customFormat="false" ht="12.8" hidden="false" customHeight="false" outlineLevel="0" collapsed="false">
      <c r="A39" s="5" t="n">
        <f aca="false">A38+0.1</f>
        <v>3.7</v>
      </c>
      <c r="B39" s="6" t="n">
        <f aca="false">INT(ROUND(A39*2^12,16))</f>
        <v>15155</v>
      </c>
      <c r="C39" s="7" t="n">
        <f aca="false">INT(-577*B39*B39/2^32)</f>
        <v>-31</v>
      </c>
      <c r="D39" s="8" t="n">
        <f aca="false">INT(57924*B39/2^16)</f>
        <v>13394</v>
      </c>
      <c r="E39" s="8" t="n">
        <v>33610</v>
      </c>
      <c r="F39" s="9" t="n">
        <f aca="false">C39+INT(D39/8)+E39</f>
        <v>35253</v>
      </c>
      <c r="G39" s="9" t="n">
        <f aca="false">F39/256</f>
        <v>137.70703125</v>
      </c>
      <c r="H39" s="6" t="n">
        <f aca="false">-0.0088*(A39*A39)+1.76773*A39+131.29</f>
        <v>137.710129</v>
      </c>
      <c r="I39" s="10" t="n">
        <f aca="false">ABS(H39-G39)</f>
        <v>0.0030977499999949</v>
      </c>
    </row>
    <row r="40" customFormat="false" ht="12.8" hidden="false" customHeight="false" outlineLevel="0" collapsed="false">
      <c r="A40" s="5" t="n">
        <f aca="false">A39+0.1</f>
        <v>3.8</v>
      </c>
      <c r="B40" s="6" t="n">
        <f aca="false">INT(ROUND(A40*2^12,16))</f>
        <v>15564</v>
      </c>
      <c r="C40" s="7" t="n">
        <f aca="false">INT(-577*B40*B40/2^32)</f>
        <v>-33</v>
      </c>
      <c r="D40" s="8" t="n">
        <f aca="false">INT(57924*B40/2^16)</f>
        <v>13756</v>
      </c>
      <c r="E40" s="8" t="n">
        <v>33610</v>
      </c>
      <c r="F40" s="9" t="n">
        <f aca="false">C40+INT(D40/8)+E40</f>
        <v>35296</v>
      </c>
      <c r="G40" s="9" t="n">
        <f aca="false">F40/256</f>
        <v>137.875</v>
      </c>
      <c r="H40" s="6" t="n">
        <f aca="false">-0.0088*(A40*A40)+1.76773*A40+131.29</f>
        <v>137.880302</v>
      </c>
      <c r="I40" s="10" t="n">
        <f aca="false">ABS(H40-G40)</f>
        <v>0.00530200000000036</v>
      </c>
    </row>
    <row r="41" customFormat="false" ht="12.8" hidden="false" customHeight="false" outlineLevel="0" collapsed="false">
      <c r="A41" s="5" t="n">
        <f aca="false">A40+0.1</f>
        <v>3.9</v>
      </c>
      <c r="B41" s="6" t="n">
        <f aca="false">INT(ROUND(A41*2^12,16))</f>
        <v>15974</v>
      </c>
      <c r="C41" s="7" t="n">
        <f aca="false">INT(-577*B41*B41/2^32)</f>
        <v>-35</v>
      </c>
      <c r="D41" s="8" t="n">
        <f aca="false">INT(57924*B41/2^16)</f>
        <v>14118</v>
      </c>
      <c r="E41" s="8" t="n">
        <v>33610</v>
      </c>
      <c r="F41" s="9" t="n">
        <f aca="false">C41+INT(D41/8)+E41</f>
        <v>35339</v>
      </c>
      <c r="G41" s="9" t="n">
        <f aca="false">F41/256</f>
        <v>138.04296875</v>
      </c>
      <c r="H41" s="6" t="n">
        <f aca="false">-0.0088*(A41*A41)+1.76773*A41+131.29</f>
        <v>138.050299</v>
      </c>
      <c r="I41" s="10" t="n">
        <f aca="false">ABS(H41-G41)</f>
        <v>0.00733024999999543</v>
      </c>
    </row>
    <row r="42" customFormat="false" ht="12.8" hidden="false" customHeight="false" outlineLevel="0" collapsed="false">
      <c r="A42" s="5" t="n">
        <f aca="false">A41+0.1</f>
        <v>4</v>
      </c>
      <c r="B42" s="6" t="n">
        <f aca="false">INT(ROUND(A42*2^12,16))</f>
        <v>16384</v>
      </c>
      <c r="C42" s="7" t="n">
        <f aca="false">INT(-577*B42*B42/2^32)</f>
        <v>-37</v>
      </c>
      <c r="D42" s="8" t="n">
        <f aca="false">INT(57924*B42/2^16)</f>
        <v>14481</v>
      </c>
      <c r="E42" s="8" t="n">
        <v>33610</v>
      </c>
      <c r="F42" s="9" t="n">
        <f aca="false">C42+INT(D42/8)+E42</f>
        <v>35383</v>
      </c>
      <c r="G42" s="9" t="n">
        <f aca="false">F42/256</f>
        <v>138.21484375</v>
      </c>
      <c r="H42" s="6" t="n">
        <f aca="false">-0.0088*(A42*A42)+1.76773*A42+131.29</f>
        <v>138.22012</v>
      </c>
      <c r="I42" s="10" t="n">
        <f aca="false">ABS(H42-G42)</f>
        <v>0.00527625000000853</v>
      </c>
    </row>
    <row r="43" customFormat="false" ht="12.8" hidden="false" customHeight="false" outlineLevel="0" collapsed="false">
      <c r="A43" s="5" t="n">
        <f aca="false">A42+0.1</f>
        <v>4.1</v>
      </c>
      <c r="B43" s="6" t="n">
        <f aca="false">INT(ROUND(A43*2^12,16))</f>
        <v>16793</v>
      </c>
      <c r="C43" s="7" t="n">
        <f aca="false">INT(-577*B43*B43/2^32)</f>
        <v>-38</v>
      </c>
      <c r="D43" s="8" t="n">
        <f aca="false">INT(57924*B43/2^16)</f>
        <v>14842</v>
      </c>
      <c r="E43" s="8" t="n">
        <v>33610</v>
      </c>
      <c r="F43" s="9" t="n">
        <f aca="false">C43+INT(D43/8)+E43</f>
        <v>35427</v>
      </c>
      <c r="G43" s="9" t="n">
        <f aca="false">F43/256</f>
        <v>138.38671875</v>
      </c>
      <c r="H43" s="6" t="n">
        <f aca="false">-0.0088*(A43*A43)+1.76773*A43+131.29</f>
        <v>138.389765</v>
      </c>
      <c r="I43" s="10" t="n">
        <f aca="false">ABS(H43-G43)</f>
        <v>0.00304624999998282</v>
      </c>
    </row>
    <row r="44" customFormat="false" ht="12.8" hidden="false" customHeight="false" outlineLevel="0" collapsed="false">
      <c r="A44" s="5" t="n">
        <f aca="false">A43+0.1</f>
        <v>4.2</v>
      </c>
      <c r="B44" s="6" t="n">
        <f aca="false">INT(ROUND(A44*2^12,16))</f>
        <v>17203</v>
      </c>
      <c r="C44" s="7" t="n">
        <f aca="false">INT(-577*B44*B44/2^32)</f>
        <v>-40</v>
      </c>
      <c r="D44" s="8" t="n">
        <f aca="false">INT(57924*B44/2^16)</f>
        <v>15204</v>
      </c>
      <c r="E44" s="8" t="n">
        <v>33610</v>
      </c>
      <c r="F44" s="9" t="n">
        <f aca="false">C44+INT(D44/8)+E44</f>
        <v>35470</v>
      </c>
      <c r="G44" s="9" t="n">
        <f aca="false">F44/256</f>
        <v>138.5546875</v>
      </c>
      <c r="H44" s="6" t="n">
        <f aca="false">-0.0088*(A44*A44)+1.76773*A44+131.29</f>
        <v>138.559234</v>
      </c>
      <c r="I44" s="10" t="n">
        <f aca="false">ABS(H44-G44)</f>
        <v>0.00454650000000356</v>
      </c>
    </row>
    <row r="45" customFormat="false" ht="12.8" hidden="false" customHeight="false" outlineLevel="0" collapsed="false">
      <c r="A45" s="5" t="n">
        <f aca="false">A44+0.1</f>
        <v>4.3</v>
      </c>
      <c r="B45" s="6" t="n">
        <f aca="false">INT(ROUND(A45*2^12,16))</f>
        <v>17612</v>
      </c>
      <c r="C45" s="7" t="n">
        <f aca="false">INT(-577*B45*B45/2^32)</f>
        <v>-42</v>
      </c>
      <c r="D45" s="8" t="n">
        <f aca="false">INT(57924*B45/2^16)</f>
        <v>15566</v>
      </c>
      <c r="E45" s="8" t="n">
        <v>33610</v>
      </c>
      <c r="F45" s="9" t="n">
        <f aca="false">C45+INT(D45/8)+E45</f>
        <v>35513</v>
      </c>
      <c r="G45" s="9" t="n">
        <f aca="false">F45/256</f>
        <v>138.72265625</v>
      </c>
      <c r="H45" s="6" t="n">
        <f aca="false">-0.0088*(A45*A45)+1.76773*A45+131.29</f>
        <v>138.728527</v>
      </c>
      <c r="I45" s="10" t="n">
        <f aca="false">ABS(H45-G45)</f>
        <v>0.00587074999998549</v>
      </c>
    </row>
    <row r="46" customFormat="false" ht="12.8" hidden="false" customHeight="false" outlineLevel="0" collapsed="false">
      <c r="A46" s="5" t="n">
        <f aca="false">A45+0.1</f>
        <v>4.4</v>
      </c>
      <c r="B46" s="6" t="n">
        <f aca="false">INT(ROUND(A46*2^12,16))</f>
        <v>18022</v>
      </c>
      <c r="C46" s="7" t="n">
        <f aca="false">INT(-577*B46*B46/2^32)</f>
        <v>-44</v>
      </c>
      <c r="D46" s="8" t="n">
        <f aca="false">INT(57924*B46/2^16)</f>
        <v>15928</v>
      </c>
      <c r="E46" s="8" t="n">
        <v>33610</v>
      </c>
      <c r="F46" s="9" t="n">
        <f aca="false">C46+INT(D46/8)+E46</f>
        <v>35557</v>
      </c>
      <c r="G46" s="9" t="n">
        <f aca="false">F46/256</f>
        <v>138.89453125</v>
      </c>
      <c r="H46" s="6" t="n">
        <f aca="false">-0.0088*(A46*A46)+1.76773*A46+131.29</f>
        <v>138.897644</v>
      </c>
      <c r="I46" s="10" t="n">
        <f aca="false">ABS(H46-G46)</f>
        <v>0.00311274999998545</v>
      </c>
    </row>
    <row r="47" customFormat="false" ht="12.8" hidden="false" customHeight="false" outlineLevel="0" collapsed="false">
      <c r="A47" s="5" t="n">
        <f aca="false">A46+0.1</f>
        <v>4.5</v>
      </c>
      <c r="B47" s="6" t="n">
        <f aca="false">INT(ROUND(A47*2^12,16))</f>
        <v>18432</v>
      </c>
      <c r="C47" s="7" t="n">
        <f aca="false">INT(-577*B47*B47/2^32)</f>
        <v>-46</v>
      </c>
      <c r="D47" s="8" t="n">
        <f aca="false">INT(57924*B47/2^16)</f>
        <v>16291</v>
      </c>
      <c r="E47" s="8" t="n">
        <v>33610</v>
      </c>
      <c r="F47" s="9" t="n">
        <f aca="false">C47+INT(D47/8)+E47</f>
        <v>35600</v>
      </c>
      <c r="G47" s="9" t="n">
        <f aca="false">F47/256</f>
        <v>139.0625</v>
      </c>
      <c r="H47" s="6" t="n">
        <f aca="false">-0.0088*(A47*A47)+1.76773*A47+131.29</f>
        <v>139.066585</v>
      </c>
      <c r="I47" s="10" t="n">
        <f aca="false">ABS(H47-G47)</f>
        <v>0.00408500000000345</v>
      </c>
    </row>
    <row r="48" customFormat="false" ht="12.8" hidden="false" customHeight="false" outlineLevel="0" collapsed="false">
      <c r="A48" s="5" t="n">
        <f aca="false">A47+0.1</f>
        <v>4.6</v>
      </c>
      <c r="B48" s="6" t="n">
        <f aca="false">INT(ROUND(A48*2^12,16))</f>
        <v>18841</v>
      </c>
      <c r="C48" s="7" t="n">
        <f aca="false">INT(-577*B48*B48/2^32)</f>
        <v>-48</v>
      </c>
      <c r="D48" s="8" t="n">
        <f aca="false">INT(57924*B48/2^16)</f>
        <v>16652</v>
      </c>
      <c r="E48" s="8" t="n">
        <v>33610</v>
      </c>
      <c r="F48" s="9" t="n">
        <f aca="false">C48+INT(D48/8)+E48</f>
        <v>35643</v>
      </c>
      <c r="G48" s="9" t="n">
        <f aca="false">F48/256</f>
        <v>139.23046875</v>
      </c>
      <c r="H48" s="6" t="n">
        <f aca="false">-0.0088*(A48*A48)+1.76773*A48+131.29</f>
        <v>139.23535</v>
      </c>
      <c r="I48" s="10" t="n">
        <f aca="false">ABS(H48-G48)</f>
        <v>0.00488124999998263</v>
      </c>
    </row>
    <row r="49" customFormat="false" ht="12.8" hidden="false" customHeight="false" outlineLevel="0" collapsed="false">
      <c r="A49" s="5" t="n">
        <f aca="false">A48+0.1</f>
        <v>4.7</v>
      </c>
      <c r="B49" s="6" t="n">
        <f aca="false">INT(ROUND(A49*2^12,16))</f>
        <v>19251</v>
      </c>
      <c r="C49" s="7" t="n">
        <f aca="false">INT(-577*B49*B49/2^32)</f>
        <v>-50</v>
      </c>
      <c r="D49" s="8" t="n">
        <f aca="false">INT(57924*B49/2^16)</f>
        <v>17014</v>
      </c>
      <c r="E49" s="8" t="n">
        <v>33610</v>
      </c>
      <c r="F49" s="9" t="n">
        <f aca="false">C49+INT(D49/8)+E49</f>
        <v>35686</v>
      </c>
      <c r="G49" s="9" t="n">
        <f aca="false">F49/256</f>
        <v>139.3984375</v>
      </c>
      <c r="H49" s="6" t="n">
        <f aca="false">-0.0088*(A49*A49)+1.76773*A49+131.29</f>
        <v>139.403939</v>
      </c>
      <c r="I49" s="10" t="n">
        <f aca="false">ABS(H49-G49)</f>
        <v>0.00550149999997984</v>
      </c>
    </row>
    <row r="50" customFormat="false" ht="12.8" hidden="false" customHeight="false" outlineLevel="0" collapsed="false">
      <c r="A50" s="5" t="n">
        <f aca="false">A49+0.1</f>
        <v>4.8</v>
      </c>
      <c r="B50" s="6" t="n">
        <f aca="false">INT(ROUND(A50*2^12,16))</f>
        <v>19660</v>
      </c>
      <c r="C50" s="7" t="n">
        <f aca="false">INT(-577*B50*B50/2^32)</f>
        <v>-52</v>
      </c>
      <c r="D50" s="8" t="n">
        <f aca="false">INT(57924*B50/2^16)</f>
        <v>17376</v>
      </c>
      <c r="E50" s="8" t="n">
        <v>33610</v>
      </c>
      <c r="F50" s="9" t="n">
        <f aca="false">C50+INT(D50/8)+E50</f>
        <v>35730</v>
      </c>
      <c r="G50" s="9" t="n">
        <f aca="false">F50/256</f>
        <v>139.5703125</v>
      </c>
      <c r="H50" s="6" t="n">
        <f aca="false">-0.0088*(A50*A50)+1.76773*A50+131.29</f>
        <v>139.572352</v>
      </c>
      <c r="I50" s="10" t="n">
        <f aca="false">ABS(H50-G50)</f>
        <v>0.00203949999999509</v>
      </c>
    </row>
    <row r="51" customFormat="false" ht="12.8" hidden="false" customHeight="false" outlineLevel="0" collapsed="false">
      <c r="A51" s="5" t="n">
        <f aca="false">A50+0.1</f>
        <v>4.9</v>
      </c>
      <c r="B51" s="6" t="n">
        <f aca="false">INT(ROUND(A51*2^12,16))</f>
        <v>20070</v>
      </c>
      <c r="C51" s="7" t="n">
        <f aca="false">INT(-577*B51*B51/2^32)</f>
        <v>-55</v>
      </c>
      <c r="D51" s="8" t="n">
        <f aca="false">INT(57924*B51/2^16)</f>
        <v>17738</v>
      </c>
      <c r="E51" s="8" t="n">
        <v>33610</v>
      </c>
      <c r="F51" s="9" t="n">
        <f aca="false">C51+INT(D51/8)+E51</f>
        <v>35772</v>
      </c>
      <c r="G51" s="9" t="n">
        <f aca="false">F51/256</f>
        <v>139.734375</v>
      </c>
      <c r="H51" s="6" t="n">
        <f aca="false">-0.0088*(A51*A51)+1.76773*A51+131.29</f>
        <v>139.740589</v>
      </c>
      <c r="I51" s="10" t="n">
        <f aca="false">ABS(H51-G51)</f>
        <v>0.00621399999999994</v>
      </c>
    </row>
    <row r="52" customFormat="false" ht="12.8" hidden="false" customHeight="false" outlineLevel="0" collapsed="false">
      <c r="A52" s="5" t="n">
        <f aca="false">A51+0.1</f>
        <v>5</v>
      </c>
      <c r="B52" s="6" t="n">
        <f aca="false">INT(ROUND(A52*2^12,16))</f>
        <v>20480</v>
      </c>
      <c r="C52" s="7" t="n">
        <f aca="false">INT(-577*B52*B52/2^32)</f>
        <v>-57</v>
      </c>
      <c r="D52" s="8" t="n">
        <f aca="false">INT(57924*B52/2^16)</f>
        <v>18101</v>
      </c>
      <c r="E52" s="8" t="n">
        <v>33610</v>
      </c>
      <c r="F52" s="9" t="n">
        <f aca="false">C52+INT(D52/8)+E52</f>
        <v>35815</v>
      </c>
      <c r="G52" s="9" t="n">
        <f aca="false">F52/256</f>
        <v>139.90234375</v>
      </c>
      <c r="H52" s="6" t="n">
        <f aca="false">-0.0088*(A52*A52)+1.76773*A52+131.29</f>
        <v>139.90865</v>
      </c>
      <c r="I52" s="10" t="n">
        <f aca="false">ABS(H52-G52)</f>
        <v>0.00630624999999441</v>
      </c>
    </row>
    <row r="53" customFormat="false" ht="12.8" hidden="false" customHeight="false" outlineLevel="0" collapsed="false">
      <c r="A53" s="5" t="n">
        <f aca="false">A52+0.1</f>
        <v>5.1</v>
      </c>
      <c r="B53" s="6" t="n">
        <f aca="false">INT(ROUND(A53*2^12,16))</f>
        <v>20889</v>
      </c>
      <c r="C53" s="7" t="n">
        <f aca="false">INT(-577*B53*B53/2^32)</f>
        <v>-59</v>
      </c>
      <c r="D53" s="8" t="n">
        <f aca="false">INT(57924*B53/2^16)</f>
        <v>18462</v>
      </c>
      <c r="E53" s="8" t="n">
        <v>33610</v>
      </c>
      <c r="F53" s="9" t="n">
        <f aca="false">C53+INT(D53/8)+E53</f>
        <v>35858</v>
      </c>
      <c r="G53" s="9" t="n">
        <f aca="false">F53/256</f>
        <v>140.0703125</v>
      </c>
      <c r="H53" s="6" t="n">
        <f aca="false">-0.0088*(A53*A53)+1.76773*A53+131.29</f>
        <v>140.076535</v>
      </c>
      <c r="I53" s="10" t="n">
        <f aca="false">ABS(H53-G53)</f>
        <v>0.00622249999997848</v>
      </c>
    </row>
    <row r="54" customFormat="false" ht="12.8" hidden="false" customHeight="false" outlineLevel="0" collapsed="false">
      <c r="A54" s="5" t="n">
        <f aca="false">A53+0.1</f>
        <v>5.2</v>
      </c>
      <c r="B54" s="6" t="n">
        <f aca="false">INT(ROUND(A54*2^12,16))</f>
        <v>21299</v>
      </c>
      <c r="C54" s="7" t="n">
        <f aca="false">INT(-577*B54*B54/2^32)</f>
        <v>-61</v>
      </c>
      <c r="D54" s="8" t="n">
        <f aca="false">INT(57924*B54/2^16)</f>
        <v>18825</v>
      </c>
      <c r="E54" s="8" t="n">
        <v>33610</v>
      </c>
      <c r="F54" s="9" t="n">
        <f aca="false">C54+INT(D54/8)+E54</f>
        <v>35902</v>
      </c>
      <c r="G54" s="9" t="n">
        <f aca="false">F54/256</f>
        <v>140.2421875</v>
      </c>
      <c r="H54" s="6" t="n">
        <f aca="false">-0.0088*(A54*A54)+1.76773*A54+131.29</f>
        <v>140.244244</v>
      </c>
      <c r="I54" s="10" t="n">
        <f aca="false">ABS(H54-G54)</f>
        <v>0.00205649999998059</v>
      </c>
    </row>
    <row r="55" customFormat="false" ht="12.8" hidden="false" customHeight="false" outlineLevel="0" collapsed="false">
      <c r="A55" s="5" t="n">
        <f aca="false">A54+0.1</f>
        <v>5.3</v>
      </c>
      <c r="B55" s="6" t="n">
        <f aca="false">INT(ROUND(A55*2^12,16))</f>
        <v>21708</v>
      </c>
      <c r="C55" s="7" t="n">
        <f aca="false">INT(-577*B55*B55/2^32)</f>
        <v>-64</v>
      </c>
      <c r="D55" s="8" t="n">
        <f aca="false">INT(57924*B55/2^16)</f>
        <v>19186</v>
      </c>
      <c r="E55" s="8" t="n">
        <v>33610</v>
      </c>
      <c r="F55" s="9" t="n">
        <f aca="false">C55+INT(D55/8)+E55</f>
        <v>35944</v>
      </c>
      <c r="G55" s="9" t="n">
        <f aca="false">F55/256</f>
        <v>140.40625</v>
      </c>
      <c r="H55" s="6" t="n">
        <f aca="false">-0.0088*(A55*A55)+1.76773*A55+131.29</f>
        <v>140.411777</v>
      </c>
      <c r="I55" s="10" t="n">
        <f aca="false">ABS(H55-G55)</f>
        <v>0.0055269999999723</v>
      </c>
    </row>
    <row r="56" customFormat="false" ht="12.8" hidden="false" customHeight="false" outlineLevel="0" collapsed="false">
      <c r="A56" s="5" t="n">
        <f aca="false">A55+0.1</f>
        <v>5.4</v>
      </c>
      <c r="B56" s="6" t="n">
        <f aca="false">INT(ROUND(A56*2^12,16))</f>
        <v>22118</v>
      </c>
      <c r="C56" s="7" t="n">
        <f aca="false">INT(-577*B56*B56/2^32)</f>
        <v>-66</v>
      </c>
      <c r="D56" s="8" t="n">
        <f aca="false">INT(57924*B56/2^16)</f>
        <v>19548</v>
      </c>
      <c r="E56" s="8" t="n">
        <v>33610</v>
      </c>
      <c r="F56" s="9" t="n">
        <f aca="false">C56+INT(D56/8)+E56</f>
        <v>35987</v>
      </c>
      <c r="G56" s="9" t="n">
        <f aca="false">F56/256</f>
        <v>140.57421875</v>
      </c>
      <c r="H56" s="6" t="n">
        <f aca="false">-0.0088*(A56*A56)+1.76773*A56+131.29</f>
        <v>140.579134</v>
      </c>
      <c r="I56" s="10" t="n">
        <f aca="false">ABS(H56-G56)</f>
        <v>0.00491524999998205</v>
      </c>
    </row>
    <row r="57" customFormat="false" ht="12.8" hidden="false" customHeight="false" outlineLevel="0" collapsed="false">
      <c r="A57" s="5" t="n">
        <f aca="false">A56+0.1</f>
        <v>5.5</v>
      </c>
      <c r="B57" s="6" t="n">
        <f aca="false">INT(ROUND(A57*2^12,16))</f>
        <v>22528</v>
      </c>
      <c r="C57" s="7" t="n">
        <f aca="false">INT(-577*B57*B57/2^32)</f>
        <v>-69</v>
      </c>
      <c r="D57" s="8" t="n">
        <f aca="false">INT(57924*B57/2^16)</f>
        <v>19911</v>
      </c>
      <c r="E57" s="8" t="n">
        <v>33610</v>
      </c>
      <c r="F57" s="9" t="n">
        <f aca="false">C57+INT(D57/8)+E57</f>
        <v>36029</v>
      </c>
      <c r="G57" s="9" t="n">
        <f aca="false">F57/256</f>
        <v>140.73828125</v>
      </c>
      <c r="H57" s="6" t="n">
        <f aca="false">-0.0088*(A57*A57)+1.76773*A57+131.29</f>
        <v>140.746315</v>
      </c>
      <c r="I57" s="10" t="n">
        <f aca="false">ABS(H57-G57)</f>
        <v>0.00803374999998141</v>
      </c>
    </row>
    <row r="58" customFormat="false" ht="12.8" hidden="false" customHeight="false" outlineLevel="0" collapsed="false">
      <c r="A58" s="5" t="n">
        <f aca="false">A57+0.1</f>
        <v>5.6</v>
      </c>
      <c r="B58" s="6" t="n">
        <f aca="false">INT(ROUND(A58*2^12,16))</f>
        <v>22937</v>
      </c>
      <c r="C58" s="7" t="n">
        <f aca="false">INT(-577*B58*B58/2^32)</f>
        <v>-71</v>
      </c>
      <c r="D58" s="8" t="n">
        <f aca="false">INT(57924*B58/2^16)</f>
        <v>20272</v>
      </c>
      <c r="E58" s="8" t="n">
        <v>33610</v>
      </c>
      <c r="F58" s="9" t="n">
        <f aca="false">C58+INT(D58/8)+E58</f>
        <v>36073</v>
      </c>
      <c r="G58" s="9" t="n">
        <f aca="false">F58/256</f>
        <v>140.91015625</v>
      </c>
      <c r="H58" s="6" t="n">
        <f aca="false">-0.0088*(A58*A58)+1.76773*A58+131.29</f>
        <v>140.91332</v>
      </c>
      <c r="I58" s="10" t="n">
        <f aca="false">ABS(H58-G58)</f>
        <v>0.0031637499999988</v>
      </c>
    </row>
    <row r="59" customFormat="false" ht="12.8" hidden="false" customHeight="false" outlineLevel="0" collapsed="false">
      <c r="A59" s="5" t="n">
        <f aca="false">A58+0.1</f>
        <v>5.7</v>
      </c>
      <c r="B59" s="6" t="n">
        <f aca="false">INT(ROUND(A59*2^12,16))</f>
        <v>23347</v>
      </c>
      <c r="C59" s="7" t="n">
        <f aca="false">INT(-577*B59*B59/2^32)</f>
        <v>-74</v>
      </c>
      <c r="D59" s="8" t="n">
        <f aca="false">INT(57924*B59/2^16)</f>
        <v>20635</v>
      </c>
      <c r="E59" s="8" t="n">
        <v>33610</v>
      </c>
      <c r="F59" s="9" t="n">
        <f aca="false">C59+INT(D59/8)+E59</f>
        <v>36115</v>
      </c>
      <c r="G59" s="9" t="n">
        <f aca="false">F59/256</f>
        <v>141.07421875</v>
      </c>
      <c r="H59" s="6" t="n">
        <f aca="false">-0.0088*(A59*A59)+1.76773*A59+131.29</f>
        <v>141.080149</v>
      </c>
      <c r="I59" s="10" t="n">
        <f aca="false">ABS(H59-G59)</f>
        <v>0.00593024999997738</v>
      </c>
    </row>
    <row r="60" customFormat="false" ht="12.8" hidden="false" customHeight="false" outlineLevel="0" collapsed="false">
      <c r="A60" s="5" t="n">
        <f aca="false">A59+0.1</f>
        <v>5.8</v>
      </c>
      <c r="B60" s="6" t="n">
        <f aca="false">INT(ROUND(A60*2^12,16))</f>
        <v>23756</v>
      </c>
      <c r="C60" s="7" t="n">
        <f aca="false">INT(-577*B60*B60/2^32)</f>
        <v>-76</v>
      </c>
      <c r="D60" s="8" t="n">
        <f aca="false">INT(57924*B60/2^16)</f>
        <v>20996</v>
      </c>
      <c r="E60" s="8" t="n">
        <v>33610</v>
      </c>
      <c r="F60" s="9" t="n">
        <f aca="false">C60+INT(D60/8)+E60</f>
        <v>36158</v>
      </c>
      <c r="G60" s="9" t="n">
        <f aca="false">F60/256</f>
        <v>141.2421875</v>
      </c>
      <c r="H60" s="6" t="n">
        <f aca="false">-0.0088*(A60*A60)+1.76773*A60+131.29</f>
        <v>141.246802</v>
      </c>
      <c r="I60" s="10" t="n">
        <f aca="false">ABS(H60-G60)</f>
        <v>0.00461449999997399</v>
      </c>
    </row>
    <row r="61" customFormat="false" ht="12.8" hidden="false" customHeight="false" outlineLevel="0" collapsed="false">
      <c r="A61" s="5" t="n">
        <f aca="false">A60+0.1</f>
        <v>5.9</v>
      </c>
      <c r="B61" s="6" t="n">
        <f aca="false">INT(ROUND(A61*2^12,16))</f>
        <v>24166</v>
      </c>
      <c r="C61" s="7" t="n">
        <f aca="false">INT(-577*B61*B61/2^32)</f>
        <v>-79</v>
      </c>
      <c r="D61" s="8" t="n">
        <f aca="false">INT(57924*B61/2^16)</f>
        <v>21359</v>
      </c>
      <c r="E61" s="8" t="n">
        <v>33610</v>
      </c>
      <c r="F61" s="9" t="n">
        <f aca="false">C61+INT(D61/8)+E61</f>
        <v>36200</v>
      </c>
      <c r="G61" s="9" t="n">
        <f aca="false">F61/256</f>
        <v>141.40625</v>
      </c>
      <c r="H61" s="6" t="n">
        <f aca="false">-0.0088*(A61*A61)+1.76773*A61+131.29</f>
        <v>141.413279</v>
      </c>
      <c r="I61" s="10" t="n">
        <f aca="false">ABS(H61-G61)</f>
        <v>0.00702899999998863</v>
      </c>
    </row>
    <row r="62" customFormat="false" ht="12.8" hidden="false" customHeight="false" outlineLevel="0" collapsed="false">
      <c r="A62" s="5" t="n">
        <f aca="false">A61+0.1</f>
        <v>6</v>
      </c>
      <c r="B62" s="6" t="n">
        <f aca="false">INT(ROUND(A62*2^12,16))</f>
        <v>24576</v>
      </c>
      <c r="C62" s="7" t="n">
        <f aca="false">INT(-577*B62*B62/2^32)</f>
        <v>-82</v>
      </c>
      <c r="D62" s="8" t="n">
        <f aca="false">INT(57924*B62/2^16)</f>
        <v>21721</v>
      </c>
      <c r="E62" s="8" t="n">
        <v>33610</v>
      </c>
      <c r="F62" s="9" t="n">
        <f aca="false">C62+INT(D62/8)+E62</f>
        <v>36243</v>
      </c>
      <c r="G62" s="9" t="n">
        <f aca="false">F62/256</f>
        <v>141.57421875</v>
      </c>
      <c r="H62" s="6" t="n">
        <f aca="false">-0.0088*(A62*A62)+1.76773*A62+131.29</f>
        <v>141.57958</v>
      </c>
      <c r="I62" s="10" t="n">
        <f aca="false">ABS(H62-G62)</f>
        <v>0.00536124999999288</v>
      </c>
    </row>
    <row r="63" customFormat="false" ht="12.8" hidden="false" customHeight="false" outlineLevel="0" collapsed="false">
      <c r="A63" s="5" t="n">
        <f aca="false">A62+0.1</f>
        <v>6.09999999999999</v>
      </c>
      <c r="B63" s="6" t="n">
        <f aca="false">INT(ROUND(A63*2^12,16))</f>
        <v>24985</v>
      </c>
      <c r="C63" s="7" t="n">
        <f aca="false">INT(-577*B63*B63/2^32)</f>
        <v>-84</v>
      </c>
      <c r="D63" s="8" t="n">
        <f aca="false">INT(57924*B63/2^16)</f>
        <v>22082</v>
      </c>
      <c r="E63" s="8" t="n">
        <v>33610</v>
      </c>
      <c r="F63" s="9" t="n">
        <f aca="false">C63+INT(D63/8)+E63</f>
        <v>36286</v>
      </c>
      <c r="G63" s="9" t="n">
        <f aca="false">F63/256</f>
        <v>141.7421875</v>
      </c>
      <c r="H63" s="6" t="n">
        <f aca="false">-0.0088*(A63*A63)+1.76773*A63+131.29</f>
        <v>141.745705</v>
      </c>
      <c r="I63" s="10" t="n">
        <f aca="false">ABS(H63-G63)</f>
        <v>0.00351749999998674</v>
      </c>
    </row>
    <row r="64" customFormat="false" ht="12.8" hidden="false" customHeight="false" outlineLevel="0" collapsed="false">
      <c r="A64" s="5" t="n">
        <f aca="false">A63+0.1</f>
        <v>6.19999999999999</v>
      </c>
      <c r="B64" s="6" t="n">
        <f aca="false">INT(ROUND(A64*2^12,16))</f>
        <v>25395</v>
      </c>
      <c r="C64" s="7" t="n">
        <f aca="false">INT(-577*B64*B64/2^32)</f>
        <v>-87</v>
      </c>
      <c r="D64" s="8" t="n">
        <f aca="false">INT(57924*B64/2^16)</f>
        <v>22445</v>
      </c>
      <c r="E64" s="8" t="n">
        <v>33610</v>
      </c>
      <c r="F64" s="9" t="n">
        <f aca="false">C64+INT(D64/8)+E64</f>
        <v>36328</v>
      </c>
      <c r="G64" s="9" t="n">
        <f aca="false">F64/256</f>
        <v>141.90625</v>
      </c>
      <c r="H64" s="6" t="n">
        <f aca="false">-0.0088*(A64*A64)+1.76773*A64+131.29</f>
        <v>141.911654</v>
      </c>
      <c r="I64" s="10" t="n">
        <f aca="false">ABS(H64-G64)</f>
        <v>0.00540399999997021</v>
      </c>
    </row>
    <row r="65" customFormat="false" ht="12.8" hidden="false" customHeight="false" outlineLevel="0" collapsed="false">
      <c r="A65" s="5" t="n">
        <f aca="false">A64+0.1</f>
        <v>6.29999999999999</v>
      </c>
      <c r="B65" s="6" t="n">
        <f aca="false">INT(ROUND(A65*2^12,16))</f>
        <v>25804</v>
      </c>
      <c r="C65" s="7" t="n">
        <f aca="false">INT(-577*B65*B65/2^32)</f>
        <v>-90</v>
      </c>
      <c r="D65" s="8" t="n">
        <f aca="false">INT(57924*B65/2^16)</f>
        <v>22806</v>
      </c>
      <c r="E65" s="8" t="n">
        <v>33610</v>
      </c>
      <c r="F65" s="9" t="n">
        <f aca="false">C65+INT(D65/8)+E65</f>
        <v>36370</v>
      </c>
      <c r="G65" s="9" t="n">
        <f aca="false">F65/256</f>
        <v>142.0703125</v>
      </c>
      <c r="H65" s="6" t="n">
        <f aca="false">-0.0088*(A65*A65)+1.76773*A65+131.29</f>
        <v>142.077427</v>
      </c>
      <c r="I65" s="10" t="n">
        <f aca="false">ABS(H65-G65)</f>
        <v>0.00711449999997171</v>
      </c>
    </row>
    <row r="66" customFormat="false" ht="12.8" hidden="false" customHeight="false" outlineLevel="0" collapsed="false">
      <c r="A66" s="5" t="n">
        <f aca="false">A65+0.1</f>
        <v>6.39999999999999</v>
      </c>
      <c r="B66" s="6" t="n">
        <f aca="false">INT(ROUND(A66*2^12,16))</f>
        <v>26214</v>
      </c>
      <c r="C66" s="7" t="n">
        <f aca="false">INT(-577*B66*B66/2^32)</f>
        <v>-93</v>
      </c>
      <c r="D66" s="8" t="n">
        <f aca="false">INT(57924*B66/2^16)</f>
        <v>23169</v>
      </c>
      <c r="E66" s="8" t="n">
        <v>33610</v>
      </c>
      <c r="F66" s="9" t="n">
        <f aca="false">C66+INT(D66/8)+E66</f>
        <v>36413</v>
      </c>
      <c r="G66" s="9" t="n">
        <f aca="false">F66/256</f>
        <v>142.23828125</v>
      </c>
      <c r="H66" s="6" t="n">
        <f aca="false">-0.0088*(A66*A66)+1.76773*A66+131.29</f>
        <v>142.243024</v>
      </c>
      <c r="I66" s="10" t="n">
        <f aca="false">ABS(H66-G66)</f>
        <v>0.00474274999999125</v>
      </c>
    </row>
    <row r="67" customFormat="false" ht="12.8" hidden="false" customHeight="false" outlineLevel="0" collapsed="false">
      <c r="A67" s="5" t="n">
        <f aca="false">A66+0.1</f>
        <v>6.49999999999999</v>
      </c>
      <c r="B67" s="6" t="n">
        <f aca="false">INT(ROUND(A67*2^12,16))</f>
        <v>26624</v>
      </c>
      <c r="C67" s="7" t="n">
        <f aca="false">INT(-577*B67*B67/2^32)</f>
        <v>-96</v>
      </c>
      <c r="D67" s="8" t="n">
        <f aca="false">INT(57924*B67/2^16)</f>
        <v>23531</v>
      </c>
      <c r="E67" s="8" t="n">
        <v>33610</v>
      </c>
      <c r="F67" s="9" t="n">
        <f aca="false">C67+INT(D67/8)+E67</f>
        <v>36455</v>
      </c>
      <c r="G67" s="9" t="n">
        <f aca="false">F67/256</f>
        <v>142.40234375</v>
      </c>
      <c r="H67" s="6" t="n">
        <f aca="false">-0.0088*(A67*A67)+1.76773*A67+131.29</f>
        <v>142.408445</v>
      </c>
      <c r="I67" s="10" t="n">
        <f aca="false">ABS(H67-G67)</f>
        <v>0.00610124999997197</v>
      </c>
    </row>
    <row r="68" customFormat="false" ht="12.8" hidden="false" customHeight="false" outlineLevel="0" collapsed="false">
      <c r="A68" s="5" t="n">
        <f aca="false">A67+0.1</f>
        <v>6.59999999999999</v>
      </c>
      <c r="B68" s="6" t="n">
        <f aca="false">INT(ROUND(A68*2^12,16))</f>
        <v>27033</v>
      </c>
      <c r="C68" s="7" t="n">
        <f aca="false">INT(-577*B68*B68/2^32)</f>
        <v>-99</v>
      </c>
      <c r="D68" s="8" t="n">
        <f aca="false">INT(57924*B68/2^16)</f>
        <v>23893</v>
      </c>
      <c r="E68" s="8" t="n">
        <v>33610</v>
      </c>
      <c r="F68" s="9" t="n">
        <f aca="false">C68+INT(D68/8)+E68</f>
        <v>36497</v>
      </c>
      <c r="G68" s="9" t="n">
        <f aca="false">F68/256</f>
        <v>142.56640625</v>
      </c>
      <c r="H68" s="6" t="n">
        <f aca="false">-0.0088*(A68*A68)+1.76773*A68+131.29</f>
        <v>142.57369</v>
      </c>
      <c r="I68" s="10" t="n">
        <f aca="false">ABS(H68-G68)</f>
        <v>0.00728374999997072</v>
      </c>
    </row>
    <row r="69" customFormat="false" ht="12.8" hidden="false" customHeight="false" outlineLevel="0" collapsed="false">
      <c r="A69" s="5" t="n">
        <f aca="false">A68+0.1</f>
        <v>6.69999999999999</v>
      </c>
      <c r="B69" s="6" t="n">
        <f aca="false">INT(ROUND(A69*2^12,16))</f>
        <v>27443</v>
      </c>
      <c r="C69" s="7" t="n">
        <f aca="false">INT(-577*B69*B69/2^32)</f>
        <v>-102</v>
      </c>
      <c r="D69" s="8" t="n">
        <f aca="false">INT(57924*B69/2^16)</f>
        <v>24255</v>
      </c>
      <c r="E69" s="8" t="n">
        <v>33610</v>
      </c>
      <c r="F69" s="9" t="n">
        <f aca="false">C69+INT(D69/8)+E69</f>
        <v>36539</v>
      </c>
      <c r="G69" s="9" t="n">
        <f aca="false">F69/256</f>
        <v>142.73046875</v>
      </c>
      <c r="H69" s="6" t="n">
        <f aca="false">-0.0088*(A69*A69)+1.76773*A69+131.29</f>
        <v>142.738759</v>
      </c>
      <c r="I69" s="10" t="n">
        <f aca="false">ABS(H69-G69)</f>
        <v>0.00829024999998751</v>
      </c>
    </row>
    <row r="70" customFormat="false" ht="12.8" hidden="false" customHeight="false" outlineLevel="0" collapsed="false">
      <c r="A70" s="5" t="n">
        <f aca="false">A69+0.1</f>
        <v>6.79999999999999</v>
      </c>
      <c r="B70" s="6" t="n">
        <f aca="false">INT(ROUND(A70*2^12,16))</f>
        <v>27852</v>
      </c>
      <c r="C70" s="7" t="n">
        <f aca="false">INT(-577*B70*B70/2^32)</f>
        <v>-105</v>
      </c>
      <c r="D70" s="8" t="n">
        <f aca="false">INT(57924*B70/2^16)</f>
        <v>24616</v>
      </c>
      <c r="E70" s="8" t="n">
        <v>33610</v>
      </c>
      <c r="F70" s="9" t="n">
        <f aca="false">C70+INT(D70/8)+E70</f>
        <v>36582</v>
      </c>
      <c r="G70" s="9" t="n">
        <f aca="false">F70/256</f>
        <v>142.8984375</v>
      </c>
      <c r="H70" s="6" t="n">
        <f aca="false">-0.0088*(A70*A70)+1.76773*A70+131.29</f>
        <v>142.903652</v>
      </c>
      <c r="I70" s="10" t="n">
        <f aca="false">ABS(H70-G70)</f>
        <v>0.00521449999996548</v>
      </c>
    </row>
    <row r="71" customFormat="false" ht="12.8" hidden="false" customHeight="false" outlineLevel="0" collapsed="false">
      <c r="A71" s="5" t="n">
        <f aca="false">A70+0.1</f>
        <v>6.89999999999999</v>
      </c>
      <c r="B71" s="6" t="n">
        <f aca="false">INT(ROUND(A71*2^12,16))</f>
        <v>28262</v>
      </c>
      <c r="C71" s="7" t="n">
        <f aca="false">INT(-577*B71*B71/2^32)</f>
        <v>-108</v>
      </c>
      <c r="D71" s="8" t="n">
        <f aca="false">INT(57924*B71/2^16)</f>
        <v>24979</v>
      </c>
      <c r="E71" s="8" t="n">
        <v>33610</v>
      </c>
      <c r="F71" s="9" t="n">
        <f aca="false">C71+INT(D71/8)+E71</f>
        <v>36624</v>
      </c>
      <c r="G71" s="9" t="n">
        <f aca="false">F71/256</f>
        <v>143.0625</v>
      </c>
      <c r="H71" s="6" t="n">
        <f aca="false">-0.0088*(A71*A71)+1.76773*A71+131.29</f>
        <v>143.068369</v>
      </c>
      <c r="I71" s="10" t="n">
        <f aca="false">ABS(H71-G71)</f>
        <v>0.00586899999998991</v>
      </c>
    </row>
    <row r="72" customFormat="false" ht="12.8" hidden="false" customHeight="false" outlineLevel="0" collapsed="false">
      <c r="A72" s="5" t="n">
        <f aca="false">A71+0.1</f>
        <v>6.99999999999999</v>
      </c>
      <c r="B72" s="6" t="n">
        <f aca="false">INT(ROUND(A72*2^12,16))</f>
        <v>28672</v>
      </c>
      <c r="C72" s="7" t="n">
        <f aca="false">INT(-577*B72*B72/2^32)</f>
        <v>-111</v>
      </c>
      <c r="D72" s="8" t="n">
        <f aca="false">INT(57924*B72/2^16)</f>
        <v>25341</v>
      </c>
      <c r="E72" s="8" t="n">
        <v>33610</v>
      </c>
      <c r="F72" s="9" t="n">
        <f aca="false">C72+INT(D72/8)+E72</f>
        <v>36666</v>
      </c>
      <c r="G72" s="9" t="n">
        <f aca="false">F72/256</f>
        <v>143.2265625</v>
      </c>
      <c r="H72" s="6" t="n">
        <f aca="false">-0.0088*(A72*A72)+1.76773*A72+131.29</f>
        <v>143.23291</v>
      </c>
      <c r="I72" s="10" t="n">
        <f aca="false">ABS(H72-G72)</f>
        <v>0.00634749999997553</v>
      </c>
    </row>
    <row r="73" customFormat="false" ht="12.8" hidden="false" customHeight="false" outlineLevel="0" collapsed="false">
      <c r="A73" s="5" t="n">
        <f aca="false">A72+0.1</f>
        <v>7.09999999999999</v>
      </c>
      <c r="B73" s="6" t="n">
        <f aca="false">INT(ROUND(A73*2^12,16))</f>
        <v>29081</v>
      </c>
      <c r="C73" s="7" t="n">
        <f aca="false">INT(-577*B73*B73/2^32)</f>
        <v>-114</v>
      </c>
      <c r="D73" s="8" t="n">
        <f aca="false">INT(57924*B73/2^16)</f>
        <v>25703</v>
      </c>
      <c r="E73" s="8" t="n">
        <v>33610</v>
      </c>
      <c r="F73" s="9" t="n">
        <f aca="false">C73+INT(D73/8)+E73</f>
        <v>36708</v>
      </c>
      <c r="G73" s="9" t="n">
        <f aca="false">F73/256</f>
        <v>143.390625</v>
      </c>
      <c r="H73" s="6" t="n">
        <f aca="false">-0.0088*(A73*A73)+1.76773*A73+131.29</f>
        <v>143.397275</v>
      </c>
      <c r="I73" s="10" t="n">
        <f aca="false">ABS(H73-G73)</f>
        <v>0.00664999999997917</v>
      </c>
    </row>
    <row r="74" customFormat="false" ht="12.8" hidden="false" customHeight="false" outlineLevel="0" collapsed="false">
      <c r="A74" s="5" t="n">
        <f aca="false">A73+0.1</f>
        <v>7.19999999999999</v>
      </c>
      <c r="B74" s="6" t="n">
        <f aca="false">INT(ROUND(A74*2^12,16))</f>
        <v>29491</v>
      </c>
      <c r="C74" s="7" t="n">
        <f aca="false">INT(-577*B74*B74/2^32)</f>
        <v>-117</v>
      </c>
      <c r="D74" s="8" t="n">
        <f aca="false">INT(57924*B74/2^16)</f>
        <v>26065</v>
      </c>
      <c r="E74" s="8" t="n">
        <v>33610</v>
      </c>
      <c r="F74" s="9" t="n">
        <f aca="false">C74+INT(D74/8)+E74</f>
        <v>36751</v>
      </c>
      <c r="G74" s="9" t="n">
        <f aca="false">F74/256</f>
        <v>143.55859375</v>
      </c>
      <c r="H74" s="6" t="n">
        <f aca="false">-0.0088*(A74*A74)+1.76773*A74+131.29</f>
        <v>143.561464</v>
      </c>
      <c r="I74" s="10" t="n">
        <f aca="false">ABS(H74-G74)</f>
        <v>0.00287024999997243</v>
      </c>
    </row>
    <row r="75" customFormat="false" ht="12.8" hidden="false" customHeight="false" outlineLevel="0" collapsed="false">
      <c r="A75" s="5" t="n">
        <f aca="false">A74+0.1</f>
        <v>7.29999999999999</v>
      </c>
      <c r="B75" s="6" t="n">
        <f aca="false">INT(ROUND(A75*2^12,16))</f>
        <v>29900</v>
      </c>
      <c r="C75" s="7" t="n">
        <f aca="false">INT(-577*B75*B75/2^32)</f>
        <v>-121</v>
      </c>
      <c r="D75" s="8" t="n">
        <f aca="false">INT(57924*B75/2^16)</f>
        <v>26427</v>
      </c>
      <c r="E75" s="8" t="n">
        <v>33610</v>
      </c>
      <c r="F75" s="9" t="n">
        <f aca="false">C75+INT(D75/8)+E75</f>
        <v>36792</v>
      </c>
      <c r="G75" s="9" t="n">
        <f aca="false">F75/256</f>
        <v>143.71875</v>
      </c>
      <c r="H75" s="6" t="n">
        <f aca="false">-0.0088*(A75*A75)+1.76773*A75+131.29</f>
        <v>143.725477</v>
      </c>
      <c r="I75" s="10" t="n">
        <f aca="false">ABS(H75-G75)</f>
        <v>0.00672699999998372</v>
      </c>
    </row>
    <row r="76" customFormat="false" ht="12.8" hidden="false" customHeight="false" outlineLevel="0" collapsed="false">
      <c r="A76" s="5" t="n">
        <f aca="false">A75+0.1</f>
        <v>7.39999999999999</v>
      </c>
      <c r="B76" s="6" t="n">
        <f aca="false">INT(ROUND(A76*2^12,16))</f>
        <v>30310</v>
      </c>
      <c r="C76" s="7" t="n">
        <f aca="false">INT(-577*B76*B76/2^32)</f>
        <v>-124</v>
      </c>
      <c r="D76" s="8" t="n">
        <f aca="false">INT(57924*B76/2^16)</f>
        <v>26789</v>
      </c>
      <c r="E76" s="8" t="n">
        <v>33610</v>
      </c>
      <c r="F76" s="9" t="n">
        <f aca="false">C76+INT(D76/8)+E76</f>
        <v>36834</v>
      </c>
      <c r="G76" s="9" t="n">
        <f aca="false">F76/256</f>
        <v>143.8828125</v>
      </c>
      <c r="H76" s="6" t="n">
        <f aca="false">-0.0088*(A76*A76)+1.76773*A76+131.29</f>
        <v>143.889314</v>
      </c>
      <c r="I76" s="10" t="n">
        <f aca="false">ABS(H76-G76)</f>
        <v>0.00650149999998462</v>
      </c>
    </row>
    <row r="77" customFormat="false" ht="12.8" hidden="false" customHeight="false" outlineLevel="0" collapsed="false">
      <c r="A77" s="5" t="n">
        <f aca="false">A76+0.1</f>
        <v>7.49999999999999</v>
      </c>
      <c r="B77" s="6" t="n">
        <f aca="false">INT(ROUND(A77*2^12,16))</f>
        <v>30720</v>
      </c>
      <c r="C77" s="7" t="n">
        <f aca="false">INT(-577*B77*B77/2^32)</f>
        <v>-127</v>
      </c>
      <c r="D77" s="8" t="n">
        <f aca="false">INT(57924*B77/2^16)</f>
        <v>27151</v>
      </c>
      <c r="E77" s="8" t="n">
        <v>33610</v>
      </c>
      <c r="F77" s="9" t="n">
        <f aca="false">C77+INT(D77/8)+E77</f>
        <v>36876</v>
      </c>
      <c r="G77" s="9" t="n">
        <f aca="false">F77/256</f>
        <v>144.046875</v>
      </c>
      <c r="H77" s="6" t="n">
        <f aca="false">-0.0088*(A77*A77)+1.76773*A77+131.29</f>
        <v>144.052975</v>
      </c>
      <c r="I77" s="10" t="n">
        <f aca="false">ABS(H77-G77)</f>
        <v>0.00609999999997513</v>
      </c>
    </row>
    <row r="78" customFormat="false" ht="12.8" hidden="false" customHeight="false" outlineLevel="0" collapsed="false">
      <c r="A78" s="5" t="n">
        <f aca="false">A77+0.1</f>
        <v>7.59999999999999</v>
      </c>
      <c r="B78" s="6" t="n">
        <f aca="false">INT(ROUND(A78*2^12,16))</f>
        <v>31129</v>
      </c>
      <c r="C78" s="7" t="n">
        <f aca="false">INT(-577*B78*B78/2^32)</f>
        <v>-131</v>
      </c>
      <c r="D78" s="8" t="n">
        <f aca="false">INT(57924*B78/2^16)</f>
        <v>27513</v>
      </c>
      <c r="E78" s="8" t="n">
        <v>33610</v>
      </c>
      <c r="F78" s="9" t="n">
        <f aca="false">C78+INT(D78/8)+E78</f>
        <v>36918</v>
      </c>
      <c r="G78" s="9" t="n">
        <f aca="false">F78/256</f>
        <v>144.2109375</v>
      </c>
      <c r="H78" s="6" t="n">
        <f aca="false">-0.0088*(A78*A78)+1.76773*A78+131.29</f>
        <v>144.21646</v>
      </c>
      <c r="I78" s="10" t="n">
        <f aca="false">ABS(H78-G78)</f>
        <v>0.00552249999998367</v>
      </c>
    </row>
    <row r="79" customFormat="false" ht="12.8" hidden="false" customHeight="false" outlineLevel="0" collapsed="false">
      <c r="A79" s="5" t="n">
        <f aca="false">A78+0.1</f>
        <v>7.69999999999999</v>
      </c>
      <c r="B79" s="6" t="n">
        <f aca="false">INT(ROUND(A79*2^12,16))</f>
        <v>31539</v>
      </c>
      <c r="C79" s="7" t="n">
        <f aca="false">INT(-577*B79*B79/2^32)</f>
        <v>-134</v>
      </c>
      <c r="D79" s="8" t="n">
        <f aca="false">INT(57924*B79/2^16)</f>
        <v>27875</v>
      </c>
      <c r="E79" s="8" t="n">
        <v>33610</v>
      </c>
      <c r="F79" s="9" t="n">
        <f aca="false">C79+INT(D79/8)+E79</f>
        <v>36960</v>
      </c>
      <c r="G79" s="9" t="n">
        <f aca="false">F79/256</f>
        <v>144.375</v>
      </c>
      <c r="H79" s="6" t="n">
        <f aca="false">-0.0088*(A79*A79)+1.76773*A79+131.29</f>
        <v>144.379769</v>
      </c>
      <c r="I79" s="10" t="n">
        <f aca="false">ABS(H79-G79)</f>
        <v>0.00476899999998182</v>
      </c>
    </row>
    <row r="80" customFormat="false" ht="12.8" hidden="false" customHeight="false" outlineLevel="0" collapsed="false">
      <c r="A80" s="5" t="n">
        <f aca="false">A79+0.1</f>
        <v>7.79999999999999</v>
      </c>
      <c r="B80" s="6" t="n">
        <f aca="false">INT(ROUND(A80*2^12,16))</f>
        <v>31948</v>
      </c>
      <c r="C80" s="7" t="n">
        <f aca="false">INT(-577*B80*B80/2^32)</f>
        <v>-138</v>
      </c>
      <c r="D80" s="8" t="n">
        <f aca="false">INT(57924*B80/2^16)</f>
        <v>28237</v>
      </c>
      <c r="E80" s="8" t="n">
        <v>33610</v>
      </c>
      <c r="F80" s="9" t="n">
        <f aca="false">C80+INT(D80/8)+E80</f>
        <v>37001</v>
      </c>
      <c r="G80" s="9" t="n">
        <f aca="false">F80/256</f>
        <v>144.53515625</v>
      </c>
      <c r="H80" s="6" t="n">
        <f aca="false">-0.0088*(A80*A80)+1.76773*A80+131.29</f>
        <v>144.542902</v>
      </c>
      <c r="I80" s="10" t="n">
        <f aca="false">ABS(H80-G80)</f>
        <v>0.00774574999996958</v>
      </c>
    </row>
    <row r="81" customFormat="false" ht="12.8" hidden="false" customHeight="false" outlineLevel="0" collapsed="false">
      <c r="A81" s="5" t="n">
        <f aca="false">A80+0.1</f>
        <v>7.89999999999999</v>
      </c>
      <c r="B81" s="6" t="n">
        <f aca="false">INT(ROUND(A81*2^12,16))</f>
        <v>32358</v>
      </c>
      <c r="C81" s="7" t="n">
        <f aca="false">INT(-577*B81*B81/2^32)</f>
        <v>-141</v>
      </c>
      <c r="D81" s="8" t="n">
        <f aca="false">INT(57924*B81/2^16)</f>
        <v>28599</v>
      </c>
      <c r="E81" s="8" t="n">
        <v>33610</v>
      </c>
      <c r="F81" s="9" t="n">
        <f aca="false">C81+INT(D81/8)+E81</f>
        <v>37043</v>
      </c>
      <c r="G81" s="9" t="n">
        <f aca="false">F81/256</f>
        <v>144.69921875</v>
      </c>
      <c r="H81" s="6" t="n">
        <f aca="false">-0.0088*(A81*A81)+1.76773*A81+131.29</f>
        <v>144.705859</v>
      </c>
      <c r="I81" s="10" t="n">
        <f aca="false">ABS(H81-G81)</f>
        <v>0.00664024999997537</v>
      </c>
    </row>
    <row r="82" customFormat="false" ht="12.8" hidden="false" customHeight="false" outlineLevel="0" collapsed="false">
      <c r="A82" s="5" t="n">
        <f aca="false">A81+0.1</f>
        <v>7.99999999999999</v>
      </c>
      <c r="B82" s="6" t="n">
        <f aca="false">INT(ROUND(A82*2^12,16))</f>
        <v>32768</v>
      </c>
      <c r="C82" s="7" t="n">
        <f aca="false">INT(-577*B82*B82/2^32)</f>
        <v>-145</v>
      </c>
      <c r="D82" s="8" t="n">
        <f aca="false">INT(57924*B82/2^16)</f>
        <v>28962</v>
      </c>
      <c r="E82" s="8" t="n">
        <v>33610</v>
      </c>
      <c r="F82" s="9" t="n">
        <f aca="false">C82+INT(D82/8)+E82</f>
        <v>37085</v>
      </c>
      <c r="G82" s="9" t="n">
        <f aca="false">F82/256</f>
        <v>144.86328125</v>
      </c>
      <c r="H82" s="6" t="n">
        <f aca="false">-0.0088*(A82*A82)+1.76773*A82+131.29</f>
        <v>144.86864</v>
      </c>
      <c r="I82" s="10" t="n">
        <f aca="false">ABS(H82-G82)</f>
        <v>0.00535874999997077</v>
      </c>
    </row>
    <row r="83" customFormat="false" ht="12.8" hidden="false" customHeight="false" outlineLevel="0" collapsed="false">
      <c r="A83" s="5" t="n">
        <f aca="false">A82+0.1</f>
        <v>8.09999999999999</v>
      </c>
      <c r="B83" s="6" t="n">
        <f aca="false">INT(ROUND(A83*2^12,16))</f>
        <v>33177</v>
      </c>
      <c r="C83" s="7" t="n">
        <f aca="false">INT(-577*B83*B83/2^32)</f>
        <v>-148</v>
      </c>
      <c r="D83" s="8" t="n">
        <f aca="false">INT(57924*B83/2^16)</f>
        <v>29323</v>
      </c>
      <c r="E83" s="8" t="n">
        <v>33610</v>
      </c>
      <c r="F83" s="9" t="n">
        <f aca="false">C83+INT(D83/8)+E83</f>
        <v>37127</v>
      </c>
      <c r="G83" s="9" t="n">
        <f aca="false">F83/256</f>
        <v>145.02734375</v>
      </c>
      <c r="H83" s="6" t="n">
        <f aca="false">-0.0088*(A83*A83)+1.76773*A83+131.29</f>
        <v>145.031245</v>
      </c>
      <c r="I83" s="10" t="n">
        <f aca="false">ABS(H83-G83)</f>
        <v>0.0039012499999842</v>
      </c>
    </row>
    <row r="84" customFormat="false" ht="12.8" hidden="false" customHeight="false" outlineLevel="0" collapsed="false">
      <c r="A84" s="5" t="n">
        <f aca="false">A83+0.1</f>
        <v>8.19999999999999</v>
      </c>
      <c r="B84" s="6" t="n">
        <f aca="false">INT(ROUND(A84*2^12,16))</f>
        <v>33587</v>
      </c>
      <c r="C84" s="7" t="n">
        <f aca="false">INT(-577*B84*B84/2^32)</f>
        <v>-152</v>
      </c>
      <c r="D84" s="8" t="n">
        <f aca="false">INT(57924*B84/2^16)</f>
        <v>29685</v>
      </c>
      <c r="E84" s="8" t="n">
        <v>33610</v>
      </c>
      <c r="F84" s="9" t="n">
        <f aca="false">C84+INT(D84/8)+E84</f>
        <v>37168</v>
      </c>
      <c r="G84" s="9" t="n">
        <f aca="false">F84/256</f>
        <v>145.1875</v>
      </c>
      <c r="H84" s="6" t="n">
        <f aca="false">-0.0088*(A84*A84)+1.76773*A84+131.29</f>
        <v>145.193674</v>
      </c>
      <c r="I84" s="10" t="n">
        <f aca="false">ABS(H84-G84)</f>
        <v>0.00617399999995882</v>
      </c>
    </row>
    <row r="85" customFormat="false" ht="12.8" hidden="false" customHeight="false" outlineLevel="0" collapsed="false">
      <c r="A85" s="5" t="n">
        <f aca="false">A84+0.1</f>
        <v>8.29999999999999</v>
      </c>
      <c r="B85" s="6" t="n">
        <f aca="false">INT(ROUND(A85*2^12,16))</f>
        <v>33996</v>
      </c>
      <c r="C85" s="7" t="n">
        <f aca="false">INT(-577*B85*B85/2^32)</f>
        <v>-156</v>
      </c>
      <c r="D85" s="8" t="n">
        <f aca="false">INT(57924*B85/2^16)</f>
        <v>30047</v>
      </c>
      <c r="E85" s="8" t="n">
        <v>33610</v>
      </c>
      <c r="F85" s="9" t="n">
        <f aca="false">C85+INT(D85/8)+E85</f>
        <v>37209</v>
      </c>
      <c r="G85" s="9" t="n">
        <f aca="false">F85/256</f>
        <v>145.34765625</v>
      </c>
      <c r="H85" s="6" t="n">
        <f aca="false">-0.0088*(A85*A85)+1.76773*A85+131.29</f>
        <v>145.355927</v>
      </c>
      <c r="I85" s="10" t="n">
        <f aca="false">ABS(H85-G85)</f>
        <v>0.0082707499999799</v>
      </c>
    </row>
    <row r="86" customFormat="false" ht="12.8" hidden="false" customHeight="false" outlineLevel="0" collapsed="false">
      <c r="A86" s="5" t="n">
        <f aca="false">A85+0.1</f>
        <v>8.39999999999999</v>
      </c>
      <c r="B86" s="6" t="n">
        <f aca="false">INT(ROUND(A86*2^12,16))</f>
        <v>34406</v>
      </c>
      <c r="C86" s="7" t="n">
        <f aca="false">INT(-577*B86*B86/2^32)</f>
        <v>-160</v>
      </c>
      <c r="D86" s="8" t="n">
        <f aca="false">INT(57924*B86/2^16)</f>
        <v>30409</v>
      </c>
      <c r="E86" s="8" t="n">
        <v>33610</v>
      </c>
      <c r="F86" s="9" t="n">
        <f aca="false">C86+INT(D86/8)+E86</f>
        <v>37251</v>
      </c>
      <c r="G86" s="9" t="n">
        <f aca="false">F86/256</f>
        <v>145.51171875</v>
      </c>
      <c r="H86" s="6" t="n">
        <f aca="false">-0.0088*(A86*A86)+1.76773*A86+131.29</f>
        <v>145.518004</v>
      </c>
      <c r="I86" s="10" t="n">
        <f aca="false">ABS(H86-G86)</f>
        <v>0.00628524999996216</v>
      </c>
    </row>
    <row r="87" customFormat="false" ht="12.8" hidden="false" customHeight="false" outlineLevel="0" collapsed="false">
      <c r="A87" s="5" t="n">
        <f aca="false">A86+0.1</f>
        <v>8.49999999999999</v>
      </c>
      <c r="B87" s="6" t="n">
        <f aca="false">INT(ROUND(A87*2^12,16))</f>
        <v>34815</v>
      </c>
      <c r="C87" s="7" t="n">
        <f aca="false">INT(-577*B87*B87/2^32)</f>
        <v>-163</v>
      </c>
      <c r="D87" s="8" t="n">
        <f aca="false">INT(57924*B87/2^16)</f>
        <v>30771</v>
      </c>
      <c r="E87" s="8" t="n">
        <v>33610</v>
      </c>
      <c r="F87" s="9" t="n">
        <f aca="false">C87+INT(D87/8)+E87</f>
        <v>37293</v>
      </c>
      <c r="G87" s="9" t="n">
        <f aca="false">F87/256</f>
        <v>145.67578125</v>
      </c>
      <c r="H87" s="6" t="n">
        <f aca="false">-0.0088*(A87*A87)+1.76773*A87+131.29</f>
        <v>145.679905</v>
      </c>
      <c r="I87" s="10" t="n">
        <f aca="false">ABS(H87-G87)</f>
        <v>0.00412374999996246</v>
      </c>
    </row>
    <row r="88" customFormat="false" ht="12.8" hidden="false" customHeight="false" outlineLevel="0" collapsed="false">
      <c r="A88" s="5" t="n">
        <f aca="false">A87+0.1</f>
        <v>8.59999999999999</v>
      </c>
      <c r="B88" s="6" t="n">
        <f aca="false">INT(ROUND(A88*2^12,16))</f>
        <v>35225</v>
      </c>
      <c r="C88" s="7" t="n">
        <f aca="false">INT(-577*B88*B88/2^32)</f>
        <v>-167</v>
      </c>
      <c r="D88" s="8" t="n">
        <f aca="false">INT(57924*B88/2^16)</f>
        <v>31133</v>
      </c>
      <c r="E88" s="8" t="n">
        <v>33610</v>
      </c>
      <c r="F88" s="9" t="n">
        <f aca="false">C88+INT(D88/8)+E88</f>
        <v>37334</v>
      </c>
      <c r="G88" s="9" t="n">
        <f aca="false">F88/256</f>
        <v>145.8359375</v>
      </c>
      <c r="H88" s="6" t="n">
        <f aca="false">-0.0088*(A88*A88)+1.76773*A88+131.29</f>
        <v>145.84163</v>
      </c>
      <c r="I88" s="10" t="n">
        <f aca="false">ABS(H88-G88)</f>
        <v>0.00569249999998078</v>
      </c>
    </row>
    <row r="89" customFormat="false" ht="12.8" hidden="false" customHeight="false" outlineLevel="0" collapsed="false">
      <c r="A89" s="5" t="n">
        <f aca="false">A88+0.1</f>
        <v>8.69999999999999</v>
      </c>
      <c r="B89" s="6" t="n">
        <f aca="false">INT(ROUND(A89*2^12,16))</f>
        <v>35635</v>
      </c>
      <c r="C89" s="7" t="n">
        <f aca="false">INT(-577*B89*B89/2^32)</f>
        <v>-171</v>
      </c>
      <c r="D89" s="8" t="n">
        <f aca="false">INT(57924*B89/2^16)</f>
        <v>31495</v>
      </c>
      <c r="E89" s="8" t="n">
        <v>33610</v>
      </c>
      <c r="F89" s="9" t="n">
        <f aca="false">C89+INT(D89/8)+E89</f>
        <v>37375</v>
      </c>
      <c r="G89" s="9" t="n">
        <f aca="false">F89/256</f>
        <v>145.99609375</v>
      </c>
      <c r="H89" s="6" t="n">
        <f aca="false">-0.0088*(A89*A89)+1.76773*A89+131.29</f>
        <v>146.003179</v>
      </c>
      <c r="I89" s="10" t="n">
        <f aca="false">ABS(H89-G89)</f>
        <v>0.0070852499999603</v>
      </c>
    </row>
    <row r="90" customFormat="false" ht="12.8" hidden="false" customHeight="false" outlineLevel="0" collapsed="false">
      <c r="A90" s="5" t="n">
        <f aca="false">A89+0.1</f>
        <v>8.79999999999999</v>
      </c>
      <c r="B90" s="6" t="n">
        <f aca="false">INT(ROUND(A90*2^12,16))</f>
        <v>36044</v>
      </c>
      <c r="C90" s="7" t="n">
        <f aca="false">INT(-577*B90*B90/2^32)</f>
        <v>-175</v>
      </c>
      <c r="D90" s="8" t="n">
        <f aca="false">INT(57924*B90/2^16)</f>
        <v>31857</v>
      </c>
      <c r="E90" s="8" t="n">
        <v>33610</v>
      </c>
      <c r="F90" s="9" t="n">
        <f aca="false">C90+INT(D90/8)+E90</f>
        <v>37417</v>
      </c>
      <c r="G90" s="9" t="n">
        <f aca="false">F90/256</f>
        <v>146.16015625</v>
      </c>
      <c r="H90" s="6" t="n">
        <f aca="false">-0.0088*(A90*A90)+1.76773*A90+131.29</f>
        <v>146.164552</v>
      </c>
      <c r="I90" s="10" t="n">
        <f aca="false">ABS(H90-G90)</f>
        <v>0.00439574999995784</v>
      </c>
    </row>
    <row r="91" customFormat="false" ht="12.8" hidden="false" customHeight="false" outlineLevel="0" collapsed="false">
      <c r="A91" s="5" t="n">
        <f aca="false">A90+0.1</f>
        <v>8.89999999999998</v>
      </c>
      <c r="B91" s="6" t="n">
        <f aca="false">INT(ROUND(A91*2^12,16))</f>
        <v>36454</v>
      </c>
      <c r="C91" s="7" t="n">
        <f aca="false">INT(-577*B91*B91/2^32)</f>
        <v>-179</v>
      </c>
      <c r="D91" s="8" t="n">
        <f aca="false">INT(57924*B91/2^16)</f>
        <v>32219</v>
      </c>
      <c r="E91" s="8" t="n">
        <v>33610</v>
      </c>
      <c r="F91" s="9" t="n">
        <f aca="false">C91+INT(D91/8)+E91</f>
        <v>37458</v>
      </c>
      <c r="G91" s="9" t="n">
        <f aca="false">F91/256</f>
        <v>146.3203125</v>
      </c>
      <c r="H91" s="6" t="n">
        <f aca="false">-0.0088*(A91*A91)+1.76773*A91+131.29</f>
        <v>146.325749</v>
      </c>
      <c r="I91" s="10" t="n">
        <f aca="false">ABS(H91-G91)</f>
        <v>0.00543649999997342</v>
      </c>
    </row>
    <row r="92" customFormat="false" ht="12.8" hidden="false" customHeight="false" outlineLevel="0" collapsed="false">
      <c r="A92" s="5" t="n">
        <f aca="false">A91+0.1</f>
        <v>8.99999999999998</v>
      </c>
      <c r="B92" s="6" t="n">
        <f aca="false">INT(ROUND(A92*2^12,16))</f>
        <v>36863</v>
      </c>
      <c r="C92" s="7" t="n">
        <f aca="false">INT(-577*B92*B92/2^32)</f>
        <v>-183</v>
      </c>
      <c r="D92" s="8" t="n">
        <f aca="false">INT(57924*B92/2^16)</f>
        <v>32581</v>
      </c>
      <c r="E92" s="8" t="n">
        <v>33610</v>
      </c>
      <c r="F92" s="9" t="n">
        <f aca="false">C92+INT(D92/8)+E92</f>
        <v>37499</v>
      </c>
      <c r="G92" s="9" t="n">
        <f aca="false">F92/256</f>
        <v>146.48046875</v>
      </c>
      <c r="H92" s="6" t="n">
        <f aca="false">-0.0088*(A92*A92)+1.76773*A92+131.29</f>
        <v>146.48677</v>
      </c>
      <c r="I92" s="10" t="n">
        <f aca="false">ABS(H92-G92)</f>
        <v>0.00630124999997861</v>
      </c>
    </row>
    <row r="93" customFormat="false" ht="12.8" hidden="false" customHeight="false" outlineLevel="0" collapsed="false">
      <c r="A93" s="5" t="n">
        <f aca="false">A92+0.1</f>
        <v>9.09999999999998</v>
      </c>
      <c r="B93" s="6" t="n">
        <f aca="false">INT(ROUND(A93*2^12,16))</f>
        <v>37273</v>
      </c>
      <c r="C93" s="7" t="n">
        <f aca="false">INT(-577*B93*B93/2^32)</f>
        <v>-187</v>
      </c>
      <c r="D93" s="8" t="n">
        <f aca="false">INT(57924*B93/2^16)</f>
        <v>32943</v>
      </c>
      <c r="E93" s="8" t="n">
        <v>33610</v>
      </c>
      <c r="F93" s="9" t="n">
        <f aca="false">C93+INT(D93/8)+E93</f>
        <v>37540</v>
      </c>
      <c r="G93" s="9" t="n">
        <f aca="false">F93/256</f>
        <v>146.640625</v>
      </c>
      <c r="H93" s="6" t="n">
        <f aca="false">-0.0088*(A93*A93)+1.76773*A93+131.29</f>
        <v>146.647615</v>
      </c>
      <c r="I93" s="10" t="n">
        <f aca="false">ABS(H93-G93)</f>
        <v>0.00698999999997341</v>
      </c>
    </row>
    <row r="94" customFormat="false" ht="12.8" hidden="false" customHeight="false" outlineLevel="0" collapsed="false">
      <c r="A94" s="5" t="n">
        <f aca="false">A93+0.1</f>
        <v>9.19999999999998</v>
      </c>
      <c r="B94" s="6" t="n">
        <f aca="false">INT(ROUND(A94*2^12,16))</f>
        <v>37683</v>
      </c>
      <c r="C94" s="7" t="n">
        <f aca="false">INT(-577*B94*B94/2^32)</f>
        <v>-191</v>
      </c>
      <c r="D94" s="8" t="n">
        <f aca="false">INT(57924*B94/2^16)</f>
        <v>33306</v>
      </c>
      <c r="E94" s="8" t="n">
        <v>33610</v>
      </c>
      <c r="F94" s="9" t="n">
        <f aca="false">C94+INT(D94/8)+E94</f>
        <v>37582</v>
      </c>
      <c r="G94" s="9" t="n">
        <f aca="false">F94/256</f>
        <v>146.8046875</v>
      </c>
      <c r="H94" s="6" t="n">
        <f aca="false">-0.0088*(A94*A94)+1.76773*A94+131.29</f>
        <v>146.808284</v>
      </c>
      <c r="I94" s="10" t="n">
        <f aca="false">ABS(H94-G94)</f>
        <v>0.00359649999995781</v>
      </c>
    </row>
    <row r="95" customFormat="false" ht="12.8" hidden="false" customHeight="false" outlineLevel="0" collapsed="false">
      <c r="A95" s="5" t="n">
        <f aca="false">A94+0.1</f>
        <v>9.29999999999998</v>
      </c>
      <c r="B95" s="6" t="n">
        <f aca="false">INT(ROUND(A95*2^12,16))</f>
        <v>38092</v>
      </c>
      <c r="C95" s="7" t="n">
        <f aca="false">INT(-577*B95*B95/2^32)</f>
        <v>-195</v>
      </c>
      <c r="D95" s="8" t="n">
        <f aca="false">INT(57924*B95/2^16)</f>
        <v>33667</v>
      </c>
      <c r="E95" s="8" t="n">
        <v>33610</v>
      </c>
      <c r="F95" s="9" t="n">
        <f aca="false">C95+INT(D95/8)+E95</f>
        <v>37623</v>
      </c>
      <c r="G95" s="9" t="n">
        <f aca="false">F95/256</f>
        <v>146.96484375</v>
      </c>
      <c r="H95" s="6" t="n">
        <f aca="false">-0.0088*(A95*A95)+1.76773*A95+131.29</f>
        <v>146.968777</v>
      </c>
      <c r="I95" s="10" t="n">
        <f aca="false">ABS(H95-G95)</f>
        <v>0.00393324999996025</v>
      </c>
    </row>
    <row r="96" customFormat="false" ht="12.8" hidden="false" customHeight="false" outlineLevel="0" collapsed="false">
      <c r="A96" s="5" t="n">
        <f aca="false">A95+0.1</f>
        <v>9.39999999999998</v>
      </c>
      <c r="B96" s="6" t="n">
        <f aca="false">INT(ROUND(A96*2^12,16))</f>
        <v>38502</v>
      </c>
      <c r="C96" s="7" t="n">
        <f aca="false">INT(-577*B96*B96/2^32)</f>
        <v>-200</v>
      </c>
      <c r="D96" s="8" t="n">
        <f aca="false">INT(57924*B96/2^16)</f>
        <v>34029</v>
      </c>
      <c r="E96" s="8" t="n">
        <v>33610</v>
      </c>
      <c r="F96" s="9" t="n">
        <f aca="false">C96+INT(D96/8)+E96</f>
        <v>37663</v>
      </c>
      <c r="G96" s="9" t="n">
        <f aca="false">F96/256</f>
        <v>147.12109375</v>
      </c>
      <c r="H96" s="6" t="n">
        <f aca="false">-0.0088*(A96*A96)+1.76773*A96+131.29</f>
        <v>147.129094</v>
      </c>
      <c r="I96" s="10" t="n">
        <f aca="false">ABS(H96-G96)</f>
        <v>0.0080002499999523</v>
      </c>
    </row>
    <row r="97" customFormat="false" ht="12.8" hidden="false" customHeight="false" outlineLevel="0" collapsed="false">
      <c r="A97" s="5" t="n">
        <f aca="false">A96+0.1</f>
        <v>9.49999999999998</v>
      </c>
      <c r="B97" s="6" t="n">
        <f aca="false">INT(ROUND(A97*2^12,16))</f>
        <v>38911</v>
      </c>
      <c r="C97" s="7" t="n">
        <f aca="false">INT(-577*B97*B97/2^32)</f>
        <v>-204</v>
      </c>
      <c r="D97" s="8" t="n">
        <f aca="false">INT(57924*B97/2^16)</f>
        <v>34391</v>
      </c>
      <c r="E97" s="8" t="n">
        <v>33610</v>
      </c>
      <c r="F97" s="9" t="n">
        <f aca="false">C97+INT(D97/8)+E97</f>
        <v>37704</v>
      </c>
      <c r="G97" s="9" t="n">
        <f aca="false">F97/256</f>
        <v>147.28125</v>
      </c>
      <c r="H97" s="6" t="n">
        <f aca="false">-0.0088*(A97*A97)+1.76773*A97+131.29</f>
        <v>147.289235</v>
      </c>
      <c r="I97" s="10" t="n">
        <f aca="false">ABS(H97-G97)</f>
        <v>0.00798499999996238</v>
      </c>
    </row>
    <row r="98" customFormat="false" ht="12.8" hidden="false" customHeight="false" outlineLevel="0" collapsed="false">
      <c r="A98" s="5" t="n">
        <f aca="false">A97+0.1</f>
        <v>9.59999999999998</v>
      </c>
      <c r="B98" s="6" t="n">
        <f aca="false">INT(ROUND(A98*2^12,16))</f>
        <v>39321</v>
      </c>
      <c r="C98" s="7" t="n">
        <f aca="false">INT(-577*B98*B98/2^32)</f>
        <v>-208</v>
      </c>
      <c r="D98" s="8" t="n">
        <f aca="false">INT(57924*B98/2^16)</f>
        <v>34753</v>
      </c>
      <c r="E98" s="8" t="n">
        <v>33610</v>
      </c>
      <c r="F98" s="9" t="n">
        <f aca="false">C98+INT(D98/8)+E98</f>
        <v>37746</v>
      </c>
      <c r="G98" s="9" t="n">
        <f aca="false">F98/256</f>
        <v>147.4453125</v>
      </c>
      <c r="H98" s="6" t="n">
        <f aca="false">-0.0088*(A98*A98)+1.76773*A98+131.29</f>
        <v>147.4492</v>
      </c>
      <c r="I98" s="10" t="n">
        <f aca="false">ABS(H98-G98)</f>
        <v>0.00388749999996207</v>
      </c>
    </row>
    <row r="99" customFormat="false" ht="12.8" hidden="false" customHeight="false" outlineLevel="0" collapsed="false">
      <c r="A99" s="5" t="n">
        <f aca="false">A98+0.1</f>
        <v>9.69999999999998</v>
      </c>
      <c r="B99" s="6" t="n">
        <f aca="false">INT(ROUND(A99*2^12,16))</f>
        <v>39731</v>
      </c>
      <c r="C99" s="7" t="n">
        <f aca="false">INT(-577*B99*B99/2^32)</f>
        <v>-213</v>
      </c>
      <c r="D99" s="8" t="n">
        <f aca="false">INT(57924*B99/2^16)</f>
        <v>35116</v>
      </c>
      <c r="E99" s="8" t="n">
        <v>33610</v>
      </c>
      <c r="F99" s="9" t="n">
        <f aca="false">C99+INT(D99/8)+E99</f>
        <v>37786</v>
      </c>
      <c r="G99" s="9" t="n">
        <f aca="false">F99/256</f>
        <v>147.6015625</v>
      </c>
      <c r="H99" s="6" t="n">
        <f aca="false">-0.0088*(A99*A99)+1.76773*A99+131.29</f>
        <v>147.608989</v>
      </c>
      <c r="I99" s="10" t="n">
        <f aca="false">ABS(H99-G99)</f>
        <v>0.00742649999995138</v>
      </c>
    </row>
    <row r="100" customFormat="false" ht="12.8" hidden="false" customHeight="false" outlineLevel="0" collapsed="false">
      <c r="A100" s="5" t="n">
        <f aca="false">A99+0.1</f>
        <v>9.79999999999998</v>
      </c>
      <c r="B100" s="6" t="n">
        <f aca="false">INT(ROUND(A100*2^12,16))</f>
        <v>40140</v>
      </c>
      <c r="C100" s="7" t="n">
        <f aca="false">INT(-577*B100*B100/2^32)</f>
        <v>-217</v>
      </c>
      <c r="D100" s="8" t="n">
        <f aca="false">INT(57924*B100/2^16)</f>
        <v>35477</v>
      </c>
      <c r="E100" s="8" t="n">
        <v>33610</v>
      </c>
      <c r="F100" s="9" t="n">
        <f aca="false">C100+INT(D100/8)+E100</f>
        <v>37827</v>
      </c>
      <c r="G100" s="9" t="n">
        <f aca="false">F100/256</f>
        <v>147.76171875</v>
      </c>
      <c r="H100" s="6" t="n">
        <f aca="false">-0.0088*(A100*A100)+1.76773*A100+131.29</f>
        <v>147.768602</v>
      </c>
      <c r="I100" s="10" t="n">
        <f aca="false">ABS(H100-G100)</f>
        <v>0.00688324999995871</v>
      </c>
    </row>
    <row r="101" customFormat="false" ht="12.8" hidden="false" customHeight="false" outlineLevel="0" collapsed="false">
      <c r="A101" s="5" t="n">
        <f aca="false">A100+0.1</f>
        <v>9.89999999999998</v>
      </c>
      <c r="B101" s="6" t="n">
        <f aca="false">INT(ROUND(A101*2^12,16))</f>
        <v>40550</v>
      </c>
      <c r="C101" s="7" t="n">
        <f aca="false">INT(-577*B101*B101/2^32)</f>
        <v>-221</v>
      </c>
      <c r="D101" s="8" t="n">
        <f aca="false">INT(57924*B101/2^16)</f>
        <v>35840</v>
      </c>
      <c r="E101" s="8" t="n">
        <v>33610</v>
      </c>
      <c r="F101" s="9" t="n">
        <f aca="false">C101+INT(D101/8)+E101</f>
        <v>37869</v>
      </c>
      <c r="G101" s="9" t="n">
        <f aca="false">F101/256</f>
        <v>147.92578125</v>
      </c>
      <c r="H101" s="6" t="n">
        <f aca="false">-0.0088*(A101*A101)+1.76773*A101+131.29</f>
        <v>147.928039</v>
      </c>
      <c r="I101" s="10" t="n">
        <f aca="false">ABS(H101-G101)</f>
        <v>0.00225774999995565</v>
      </c>
    </row>
    <row r="102" customFormat="false" ht="12.8" hidden="false" customHeight="false" outlineLevel="0" collapsed="false">
      <c r="A102" s="11" t="n">
        <f aca="false">A101+0.1</f>
        <v>9.99999999999998</v>
      </c>
      <c r="B102" s="6" t="n">
        <f aca="false">INT(ROUND(A102*2^12,16))</f>
        <v>40959</v>
      </c>
      <c r="C102" s="7" t="n">
        <f aca="false">INT(-577*B102*B102/2^32)</f>
        <v>-226</v>
      </c>
      <c r="D102" s="8" t="n">
        <f aca="false">INT(57924*B102/2^16)</f>
        <v>36201</v>
      </c>
      <c r="E102" s="12" t="n">
        <v>33610</v>
      </c>
      <c r="F102" s="13" t="n">
        <f aca="false">C102+INT(D102/8)+E102</f>
        <v>37909</v>
      </c>
      <c r="G102" s="13" t="n">
        <f aca="false">F102/256</f>
        <v>148.08203125</v>
      </c>
      <c r="H102" s="6" t="n">
        <f aca="false">-0.0088*(A102*A102)+1.76773*A102+131.29</f>
        <v>148.0873</v>
      </c>
      <c r="I102" s="14" t="n">
        <f aca="false">ABS(H102-G102)</f>
        <v>0.00526874999997062</v>
      </c>
    </row>
    <row r="103" customFormat="false" ht="12.8" hidden="false" customHeight="false" outlineLevel="0" collapsed="false">
      <c r="C103" s="15"/>
      <c r="D103" s="16"/>
      <c r="E103" s="16"/>
      <c r="F103" s="16"/>
      <c r="G103" s="16"/>
    </row>
    <row r="104" customFormat="false" ht="12.8" hidden="false" customHeight="false" outlineLevel="0" collapsed="false">
      <c r="C104" s="15"/>
      <c r="D104" s="16"/>
      <c r="E104" s="16"/>
      <c r="F104" s="16"/>
      <c r="G104" s="16"/>
      <c r="H104" s="0" t="s">
        <v>9</v>
      </c>
      <c r="I104" s="17" t="n">
        <f aca="false">MAX(I2:I102)</f>
        <v>0.00829024999998751</v>
      </c>
    </row>
    <row r="105" customFormat="false" ht="12.8" hidden="false" customHeight="false" outlineLevel="0" collapsed="false">
      <c r="C105" s="15"/>
      <c r="D105" s="16"/>
      <c r="E105" s="16"/>
      <c r="F105" s="16"/>
      <c r="G105" s="16"/>
      <c r="H105" s="0" t="s">
        <v>10</v>
      </c>
      <c r="I105" s="17" t="n">
        <f aca="false">MIN(I2:I102)</f>
        <v>0.000937499999992042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2025-11-02T01:58:44Z</dcterms:created>
  <dc:creator/>
  <dc:description/>
  <dc:language>en-US</dc:language>
  <cp:lastModifiedBy/>
  <dcterms:modified xsi:type="dcterms:W3CDTF">2025-11-02T01:58:21Z</dcterms:modified>
  <cp:revision>1</cp:revision>
  <dc:subject/>
  <dc:title/>
</cp:coreProperties>
</file>